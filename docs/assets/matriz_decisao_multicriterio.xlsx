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ia-me" state="visible" r:id="rId4"/>
    <sheet sheetId="2" name="Premissas" state="visible" r:id="rId5"/>
    <sheet sheetId="3" name="AHP" state="visible" r:id="rId6"/>
    <sheet sheetId="4" name="Escala" state="visible" r:id="rId7"/>
    <sheet sheetId="5" name="Matriz" state="visible" r:id="rId8"/>
    <sheet sheetId="6" name="Sensibilidade" state="visible" r:id="rId9"/>
  </sheets>
  <calcPr calcId="171027" fullCalcOnLoad="1"/>
</workbook>
</file>

<file path=xl/sharedStrings.xml><?xml version="1.0" encoding="utf-8"?>
<sst xmlns="http://schemas.openxmlformats.org/spreadsheetml/2006/main" count="242" uniqueCount="181">
  <si>
    <t>Matriz de decisão multicritério — modelos de estoque MRO (cenário genérico)</t>
  </si>
  <si>
    <t>Para que serve: reproduz os cálculos da página "Critérios e matriz de decisão" da documentação do Grupo 02 (Entregável 2).</t>
  </si>
  <si>
    <t>Aplicação genérica: não usa dados da Atvos e não é recomendação para o case real.</t>
  </si>
  <si>
    <t>Como usar</t>
  </si>
  <si>
    <t>1. Células em azul com fundo amarelo são entradas: julgamentos do AHP, notas, premissas. Altere apenas essas células.</t>
  </si>
  <si>
    <t>2. Células em preto são fórmulas; células em verde trazem valores de outra aba. Não altere essas células.</t>
  </si>
  <si>
    <t>3. Aba AHP: os julgamentos par a par geram os pesos e a razão de consistência (CR). CR abaixo de 0,10 indica julgamentos consistentes.</t>
  </si>
  <si>
    <t>4. Aba Matriz: notas de 1 a 5 (ver aba Escala), resultado ponderado, filtro eliminatório e posição, nos cenários base e de rede concentrada.</t>
  </si>
  <si>
    <t>5. Aba Sensibilidade: variação de ±10 p.p. em cada peso e varredura do peso do capital imobilizado.</t>
  </si>
  <si>
    <t>Ordem das abas</t>
  </si>
  <si>
    <t>Premissas → AHP → Escala → Matriz → Sensibilidade</t>
  </si>
  <si>
    <t>Limitações</t>
  </si>
  <si>
    <t>• Notas e julgamentos são dos autores, apoiados nas páginas de Modelos, SIPOC e Mercado fornecedor; não há dados internos da Raízen.</t>
  </si>
  <si>
    <t>• Tempos e distâncias são hipotéticos (mesmas premissas da Tabela 3 da página de SIPOC).</t>
  </si>
  <si>
    <t>• A tributação das transferências entre unidades NÃO entra como critério: não foi encontrada fonte atual sobre o tema, o que limita a análise.</t>
  </si>
  <si>
    <t>• Na soma ponderada, uma alternativa de meio-termo tende a vencer quando as demais têm notas extremas; por isso a sensibilidade importa mais que o primeiro lugar.</t>
  </si>
  <si>
    <t>Fontes de método</t>
  </si>
  <si>
    <t>SAATY, Thomas L. The Analytic Hierarchy Process. New York: McGraw-Hill, 1980 (escala 1–9 e índice aleatório RI = 1,24 para n = 6).</t>
  </si>
  <si>
    <t>Documentação do Grupo 02: https://agrotech-inteli-ati.github.io/2026_02_TRAINEE_EDUCACIONAL_02/</t>
  </si>
  <si>
    <t>Premissas do cenário genérico</t>
  </si>
  <si>
    <t>Premissa</t>
  </si>
  <si>
    <t>Valor</t>
  </si>
  <si>
    <t>Unidade</t>
  </si>
  <si>
    <t>Origem</t>
  </si>
  <si>
    <t>Número de usinas da rede</t>
  </si>
  <si>
    <t>usinas</t>
  </si>
  <si>
    <t>Números-base do projeto (Raízen, 31/03/2026)</t>
  </si>
  <si>
    <t>Grupos regionais</t>
  </si>
  <si>
    <t>grupos</t>
  </si>
  <si>
    <t>Premissa dos autores</t>
  </si>
  <si>
    <t>Distância da usina ao pool regional</t>
  </si>
  <si>
    <t>km</t>
  </si>
  <si>
    <t>Premissa (página SIPOC, Tabela 3)</t>
  </si>
  <si>
    <t>Distância da usina ao CD central — cenário base</t>
  </si>
  <si>
    <t>Distância da usina ao CD central — rede concentrada</t>
  </si>
  <si>
    <t>Premissa do cenário contrastante</t>
  </si>
  <si>
    <t>Tempo tolerável de parada (limite do filtro)</t>
  </si>
  <si>
    <t>h</t>
  </si>
  <si>
    <t>Premissa (página SIPOC)</t>
  </si>
  <si>
    <t>Velocidade média do transporte rodoviário</t>
  </si>
  <si>
    <t>km/h</t>
  </si>
  <si>
    <t>Premissa (página SIPOC), inclui paradas</t>
  </si>
  <si>
    <t>Tempo fora do transporte (ordem, solicitação, separação, recebimento)</t>
  </si>
  <si>
    <t>Premissa (página SIPOC, Tabela 3: 1 + 1 + 1 + 1 h)</t>
  </si>
  <si>
    <t>Tempo de atendimento com o item na própria usina</t>
  </si>
  <si>
    <t>Correlação das demandas — sobressalentes de falha aleatória</t>
  </si>
  <si>
    <t>—</t>
  </si>
  <si>
    <t>Premissa (página Modelos, Tabela 4)</t>
  </si>
  <si>
    <t>Correlação das demandas — itens de desgaste</t>
  </si>
  <si>
    <t>AHP — comparação par a par dos critérios (escala de Saaty, 1 a 9)</t>
  </si>
  <si>
    <t>Leia cada célula como "o critério da linha é X vezes mais importante que o da coluna". Edite apenas o triângulo superior (azul).</t>
  </si>
  <si>
    <t>Critério</t>
  </si>
  <si>
    <t>C1</t>
  </si>
  <si>
    <t>C2</t>
  </si>
  <si>
    <t>C3</t>
  </si>
  <si>
    <t>C4</t>
  </si>
  <si>
    <t>C5</t>
  </si>
  <si>
    <t>C6</t>
  </si>
  <si>
    <t>Média geométrica</t>
  </si>
  <si>
    <t>Peso</t>
  </si>
  <si>
    <t>A · w</t>
  </si>
  <si>
    <t>(A · w) ÷ w</t>
  </si>
  <si>
    <t>C1. Disponibilidade para itens críticos</t>
  </si>
  <si>
    <t>C2. Capital imobilizado</t>
  </si>
  <si>
    <t>C3. Custo de transporte</t>
  </si>
  <si>
    <t>C4. Governança</t>
  </si>
  <si>
    <t>C5. Escala de armazenagem</t>
  </si>
  <si>
    <t>C6. Resiliência</t>
  </si>
  <si>
    <t>Total</t>
  </si>
  <si>
    <t>λ máximo</t>
  </si>
  <si>
    <t>n (número de critérios)</t>
  </si>
  <si>
    <t>Índice de consistência (CI)</t>
  </si>
  <si>
    <t>Índice aleatório (RI, Saaty, n = 6)</t>
  </si>
  <si>
    <t>Razão de consistência (CR = CI ÷ RI)</t>
  </si>
  <si>
    <t>Situação</t>
  </si>
  <si>
    <t>Escala de Saaty</t>
  </si>
  <si>
    <t>1</t>
  </si>
  <si>
    <t>Igual importância</t>
  </si>
  <si>
    <t>3</t>
  </si>
  <si>
    <t>Importância moderada</t>
  </si>
  <si>
    <t>5</t>
  </si>
  <si>
    <t>Importância forte</t>
  </si>
  <si>
    <t>7</t>
  </si>
  <si>
    <t>Importância muito forte</t>
  </si>
  <si>
    <t>9</t>
  </si>
  <si>
    <t>Importância extrema</t>
  </si>
  <si>
    <t>2, 4, 6, 8</t>
  </si>
  <si>
    <t>Valores intermediários</t>
  </si>
  <si>
    <t>1/3, 1/5 ...</t>
  </si>
  <si>
    <t>O critério da coluna é mais importante que o da linha</t>
  </si>
  <si>
    <t>Justificativa dos julgamentos</t>
  </si>
  <si>
    <t>Par</t>
  </si>
  <si>
    <t>Julgamento</t>
  </si>
  <si>
    <t>Justificativa</t>
  </si>
  <si>
    <t>C1 × C2</t>
  </si>
  <si>
    <t>Disponibilidade é moderadamente mais importante que capital: a falta de peça crítica para a moagem na safra.</t>
  </si>
  <si>
    <t>C1 × C3</t>
  </si>
  <si>
    <t>Disponibilidade é fortemente mais importante que frete: o custo de parada supera o custo de transporte.</t>
  </si>
  <si>
    <t>C1 × C4</t>
  </si>
  <si>
    <t>Disponibilidade é fortemente mais importante que governança: controle não compensa usina parada.</t>
  </si>
  <si>
    <t>C1 × C5</t>
  </si>
  <si>
    <t>Disponibilidade é fortemente mais importante que escala de armazenagem.</t>
  </si>
  <si>
    <t>C1 × C6</t>
  </si>
  <si>
    <t>Disponibilidade é moderadamente mais importante que resiliência: ambas protegem a operação, mas a quebra é o evento mais frequente.</t>
  </si>
  <si>
    <t>C2 × C3</t>
  </si>
  <si>
    <t>Capital é moderadamente mais importante que frete, dada a pressão de caixa (recuperação extrajudicial).</t>
  </si>
  <si>
    <t>C2 × C4</t>
  </si>
  <si>
    <t>Capital é moderadamente mais importante que governança.</t>
  </si>
  <si>
    <t>C2 × C5</t>
  </si>
  <si>
    <t>Capital é moderadamente mais importante que escala.</t>
  </si>
  <si>
    <t>C2 × C6</t>
  </si>
  <si>
    <t>Capital e resiliência têm a mesma importância: um protege o caixa, o outro a continuidade.</t>
  </si>
  <si>
    <t>C3 × C4</t>
  </si>
  <si>
    <t>Frete e governança têm a mesma importância.</t>
  </si>
  <si>
    <t>C3 × C5</t>
  </si>
  <si>
    <t>Frete e escala têm a mesma importância.</t>
  </si>
  <si>
    <t>C3 × C6</t>
  </si>
  <si>
    <t>Resiliência é moderadamente mais importante que frete (rotas sujeitas a chuvas e bloqueios).</t>
  </si>
  <si>
    <t>C4 × C5</t>
  </si>
  <si>
    <t>Governança e escala têm a mesma importância.</t>
  </si>
  <si>
    <t>C4 × C6</t>
  </si>
  <si>
    <t>Resiliência é moderadamente mais importante que governança.</t>
  </si>
  <si>
    <t>C5 × C6</t>
  </si>
  <si>
    <t>Resiliência é moderadamente mais importante que escala.</t>
  </si>
  <si>
    <t>Escala ancorada de avaliação (1 a 5)</t>
  </si>
  <si>
    <t>Cada nota tem um significado definido por critério. Regra para notas intermediárias: não se usam notas fracionadas.</t>
  </si>
  <si>
    <t>4</t>
  </si>
  <si>
    <t>2</t>
  </si>
  <si>
    <t>Tempo de atendimento ao item crítico de até 2 h</t>
  </si>
  <si>
    <t>Todos os itens críticos dentro do limite de parada (8 h)</t>
  </si>
  <si>
    <t>Até 12 h</t>
  </si>
  <si>
    <t>Até 2 vezes o limite (até 16 h)</t>
  </si>
  <si>
    <t>Mais de 2 vezes o limite</t>
  </si>
  <si>
    <t>Redução do estoque de segurança de 60% ou mais</t>
  </si>
  <si>
    <t>40% a 60%</t>
  </si>
  <si>
    <t>20% a 40%</t>
  </si>
  <si>
    <t>5% a 20%</t>
  </si>
  <si>
    <t>Menos de 5% (sem compartilhamento)</t>
  </si>
  <si>
    <t>Abastecimento consolidado e sem transferências longas</t>
  </si>
  <si>
    <t>Abastecimento consolidado; transferências curtas (até 150 km) para parte dos itens</t>
  </si>
  <si>
    <t>Entregas fracionadas em cada unidade, sem transferências</t>
  </si>
  <si>
    <t>Abastecimento consolidado, mas transferências longas para todos os itens</t>
  </si>
  <si>
    <t>Entregas fracionadas e transferências longas</t>
  </si>
  <si>
    <t>Um único ponto de estoque e cadastro</t>
  </si>
  <si>
    <t>Poucos pontos (até 5) com cadastro único</t>
  </si>
  <si>
    <t>Vários pontos com cadastro único e regras de segmentação</t>
  </si>
  <si>
    <t>Um ponto por unidade com cadastro corporativo compartilhado</t>
  </si>
  <si>
    <t>Um ponto por unidade com cadastros independentes</t>
  </si>
  <si>
    <t>Um único ponto concentra armazenagem e recebimento</t>
  </si>
  <si>
    <t>Poucos pontos concentram os itens de maior valor</t>
  </si>
  <si>
    <t>Parte relevante do volume concentrada</t>
  </si>
  <si>
    <t>Pequena parte do volume concentrada</t>
  </si>
  <si>
    <t>Cada unidade armazena e recebe tudo</t>
  </si>
  <si>
    <t>Interrupção afeta apenas uma unidade</t>
  </si>
  <si>
    <t>Afeta um grupo regional, com itens críticos protegidos na usina</t>
  </si>
  <si>
    <t>Afeta um grupo regional inteiro</t>
  </si>
  <si>
    <t>Afeta toda a rede, com rota curta e alternativas</t>
  </si>
  <si>
    <t>Afeta toda a rede e depende de rota longa</t>
  </si>
  <si>
    <t>Nota sobre C5: a negociação de compras é centralizada em todos os modelos (Central de Compras, PLT.02); por isso C5 mede só a escala de armazenagem e recebimento.</t>
  </si>
  <si>
    <t>Matriz multicritério — resultado ponderado, filtro eliminatório e posição</t>
  </si>
  <si>
    <t>Cenário base (CD central a 600 km)</t>
  </si>
  <si>
    <t>Centralizado</t>
  </si>
  <si>
    <t>Descentralizado</t>
  </si>
  <si>
    <t>Híbrido</t>
  </si>
  <si>
    <t>Resultado ponderado</t>
  </si>
  <si>
    <t>Tempo de atendimento ao item crítico (h)</t>
  </si>
  <si>
    <t>Limite do filtro: tempo tolerável de parada (h)</t>
  </si>
  <si>
    <t>Filtro eliminatório</t>
  </si>
  <si>
    <t>Posição (entre as que passam no filtro)</t>
  </si>
  <si>
    <t>Cenário contrastante: rede concentrada (CD central a 100 km)</t>
  </si>
  <si>
    <t>No cenário concentrado, mudam apenas as notas do Centralizado em C1 (4), C3 (4) e C6 (2), porque o CD fica a 100 km das usinas.</t>
  </si>
  <si>
    <t>Sensibilidade dos resultados aos pesos (cenário base)</t>
  </si>
  <si>
    <t>Ao alterar o peso de um critério, os demais são reescalados proporcionalmente para somar 100%. O líder considera o filtro eliminatório do cenário base.</t>
  </si>
  <si>
    <t>Variação de ±10 p.p. em cada peso</t>
  </si>
  <si>
    <t>Critério (índice)</t>
  </si>
  <si>
    <t>Variação</t>
  </si>
  <si>
    <t>Líder (após filtro)</t>
  </si>
  <si>
    <t>Varredura do peso de C2 (capital imobilizado)</t>
  </si>
  <si>
    <t>Peso de C2</t>
  </si>
  <si>
    <t/>
  </si>
  <si>
    <t>No cenário base, o Centralizado não passa no filtro; seus resultados aparecem apenas como referência.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</si>
</sst>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0.0%"/>
    <numFmt numFmtId="166" formatCode="0.0"/>
    <numFmt numFmtId="167" formatCode="+0%;-0%;0%"/>
  </numFmts>
  <fonts count="9" x14ac:knownFonts="1">
    <font>
      <color theme="1"/>
      <family val="2"/>
      <scheme val="minor"/>
      <sz val="11"/>
      <name val="Calibri"/>
    </font>
    <font>
      <b/>
      <color rgb="FF1B523C"/>
      <sz val="13"/>
      <name val="Arial"/>
    </font>
    <font>
      <sz val="10"/>
      <name val="Arial"/>
    </font>
    <font>
      <b/>
      <color rgb="FF1B523C"/>
      <sz val="11"/>
      <name val="Arial"/>
    </font>
    <font>
      <b/>
      <color rgb="FFFFFFFF"/>
      <sz val="10"/>
      <name val="Arial"/>
    </font>
    <font>
      <color rgb="FF0000FF"/>
      <sz val="10"/>
      <name val="Arial"/>
    </font>
    <font>
      <i/>
      <color rgb="FF595959"/>
      <sz val="9"/>
      <name val="Arial"/>
    </font>
    <font>
      <b/>
      <sz val="10"/>
      <name val="Arial"/>
    </font>
    <font>
      <color rgb="FF008000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B523C"/>
      </patternFill>
    </fill>
    <fill>
      <patternFill patternType="solid">
        <fgColor rgb="FFFFF2CC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 wrapText="1"/>
    </xf>
    <xf numFmtId="1" fontId="5" fillId="3" borderId="0" xfId="0" applyNumberFormat="1" applyFont="1" applyFill="1" applyAlignment="1">
      <alignment horizontal="center"/>
    </xf>
    <xf numFmtId="0" fontId="6" fillId="0" borderId="0" xfId="0" applyFont="1" applyAlignment="1">
      <alignment vertical="top" wrapText="1"/>
    </xf>
    <xf numFmtId="2" fontId="5" fillId="3" borderId="0" xfId="0" applyNumberFormat="1" applyFont="1" applyFill="1" applyAlignment="1">
      <alignment horizontal="center"/>
    </xf>
    <xf numFmtId="0" fontId="7" fillId="0" borderId="0" xfId="0" applyFont="1" applyAlignment="1">
      <alignment vertical="center" wrapText="1"/>
    </xf>
    <xf numFmtId="2" fontId="2" fillId="4" borderId="0" xfId="0" applyNumberFormat="1" applyFont="1" applyFill="1" applyAlignment="1">
      <alignment horizontal="center"/>
    </xf>
    <xf numFmtId="12" fontId="5" fillId="3" borderId="0" xfId="0" applyNumberFormat="1" applyFont="1" applyFill="1" applyAlignment="1">
      <alignment horizontal="center"/>
    </xf>
    <xf numFmtId="164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 wrapText="1"/>
    </xf>
    <xf numFmtId="0" fontId="2" fillId="0" borderId="0" xfId="0" applyFont="1" applyAlignment="1">
      <alignment vertical="top" wrapText="1"/>
    </xf>
    <xf numFmtId="165" fontId="8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/>
    </xf>
    <xf numFmtId="167" fontId="5" fillId="3" borderId="0" xfId="0" applyNumberFormat="1" applyFont="1" applyFill="1" applyAlignment="1">
      <alignment horizontal="center"/>
    </xf>
    <xf numFmtId="2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4"/>
  <sheetViews>
    <sheetView workbookViewId="0" showGridLines="0"/>
  </sheetViews>
  <sheetFormatPr defaultRowHeight="15" outlineLevelRow="0" outlineLevelCol="0" x14ac:dyDescent="55"/>
  <cols>
    <col min="1" max="1" width="130" customWidth="1"/>
  </cols>
  <sheetData>
    <row r="1" spans="1:1" x14ac:dyDescent="0.25">
      <c r="A1" s="1" t="s">
        <v>0</v>
      </c>
    </row>
    <row r="3" spans="1:1" x14ac:dyDescent="0.25">
      <c r="A3" s="2" t="s">
        <v>1</v>
      </c>
    </row>
    <row r="4" spans="1:1" x14ac:dyDescent="0.25">
      <c r="A4" s="2" t="s">
        <v>2</v>
      </c>
    </row>
    <row r="6" spans="1:1" x14ac:dyDescent="0.25">
      <c r="A6" s="3" t="s">
        <v>3</v>
      </c>
    </row>
    <row r="7" spans="1:1" x14ac:dyDescent="0.25">
      <c r="A7" s="2" t="s">
        <v>4</v>
      </c>
    </row>
    <row r="8" spans="1:1" x14ac:dyDescent="0.25">
      <c r="A8" s="2" t="s">
        <v>5</v>
      </c>
    </row>
    <row r="9" spans="1:1" x14ac:dyDescent="0.25">
      <c r="A9" s="2" t="s">
        <v>6</v>
      </c>
    </row>
    <row r="10" spans="1:1" x14ac:dyDescent="0.25">
      <c r="A10" s="2" t="s">
        <v>7</v>
      </c>
    </row>
    <row r="11" spans="1:1" x14ac:dyDescent="0.25">
      <c r="A11" s="2" t="s">
        <v>8</v>
      </c>
    </row>
    <row r="13" spans="1:1" x14ac:dyDescent="0.25">
      <c r="A13" s="3" t="s">
        <v>9</v>
      </c>
    </row>
    <row r="14" spans="1:1" x14ac:dyDescent="0.25">
      <c r="A14" s="2" t="s">
        <v>10</v>
      </c>
    </row>
    <row r="16" spans="1:1" x14ac:dyDescent="0.25">
      <c r="A16" s="3" t="s">
        <v>11</v>
      </c>
    </row>
    <row r="17" spans="1:1" x14ac:dyDescent="0.25">
      <c r="A17" s="2" t="s">
        <v>12</v>
      </c>
    </row>
    <row r="18" spans="1:1" x14ac:dyDescent="0.25">
      <c r="A18" s="2" t="s">
        <v>13</v>
      </c>
    </row>
    <row r="19" spans="1:1" x14ac:dyDescent="0.25">
      <c r="A19" s="2" t="s">
        <v>14</v>
      </c>
    </row>
    <row r="20" spans="1:1" x14ac:dyDescent="0.25">
      <c r="A20" s="2" t="s">
        <v>15</v>
      </c>
    </row>
    <row r="22" spans="1:1" x14ac:dyDescent="0.25">
      <c r="A22" s="3" t="s">
        <v>16</v>
      </c>
    </row>
    <row r="23" spans="1:1" x14ac:dyDescent="0.25">
      <c r="A23" s="2" t="s">
        <v>17</v>
      </c>
    </row>
    <row r="24" spans="1:1" x14ac:dyDescent="0.25">
      <c r="A24" s="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/>
  </sheetViews>
  <sheetFormatPr defaultRowHeight="15" outlineLevelRow="0" outlineLevelCol="0" x14ac:dyDescent="55"/>
  <cols>
    <col min="1" max="1" width="62" customWidth="1"/>
    <col min="2" max="2" width="10" customWidth="1"/>
    <col min="4" max="4" width="50" customWidth="1"/>
  </cols>
  <sheetData>
    <row r="1" spans="1:1" x14ac:dyDescent="0.25">
      <c r="A1" s="1" t="s">
        <v>19</v>
      </c>
    </row>
    <row r="3" spans="1:4" x14ac:dyDescent="0.25">
      <c r="A3" s="4" t="s">
        <v>20</v>
      </c>
      <c r="B3" s="4" t="s">
        <v>21</v>
      </c>
      <c r="C3" s="4" t="s">
        <v>22</v>
      </c>
      <c r="D3" s="4" t="s">
        <v>23</v>
      </c>
    </row>
    <row r="4" spans="1:4" x14ac:dyDescent="0.25">
      <c r="A4" s="2" t="s">
        <v>24</v>
      </c>
      <c r="B4" s="5">
        <v>24</v>
      </c>
      <c r="C4" s="2" t="s">
        <v>25</v>
      </c>
      <c r="D4" s="6" t="s">
        <v>26</v>
      </c>
    </row>
    <row r="5" spans="1:4" x14ac:dyDescent="0.25">
      <c r="A5" s="2" t="s">
        <v>27</v>
      </c>
      <c r="B5" s="5">
        <v>4</v>
      </c>
      <c r="C5" s="2" t="s">
        <v>28</v>
      </c>
      <c r="D5" s="6" t="s">
        <v>29</v>
      </c>
    </row>
    <row r="6" spans="1:4" x14ac:dyDescent="0.25">
      <c r="A6" s="2" t="s">
        <v>30</v>
      </c>
      <c r="B6" s="5">
        <v>150</v>
      </c>
      <c r="C6" s="2" t="s">
        <v>31</v>
      </c>
      <c r="D6" s="6" t="s">
        <v>32</v>
      </c>
    </row>
    <row r="7" spans="1:4" x14ac:dyDescent="0.25">
      <c r="A7" s="2" t="s">
        <v>33</v>
      </c>
      <c r="B7" s="5">
        <v>600</v>
      </c>
      <c r="C7" s="2" t="s">
        <v>31</v>
      </c>
      <c r="D7" s="6" t="s">
        <v>32</v>
      </c>
    </row>
    <row r="8" spans="1:4" x14ac:dyDescent="0.25">
      <c r="A8" s="2" t="s">
        <v>34</v>
      </c>
      <c r="B8" s="5">
        <v>100</v>
      </c>
      <c r="C8" s="2" t="s">
        <v>31</v>
      </c>
      <c r="D8" s="6" t="s">
        <v>35</v>
      </c>
    </row>
    <row r="9" spans="1:4" x14ac:dyDescent="0.25">
      <c r="A9" s="2" t="s">
        <v>36</v>
      </c>
      <c r="B9" s="5">
        <v>8</v>
      </c>
      <c r="C9" s="2" t="s">
        <v>37</v>
      </c>
      <c r="D9" s="6" t="s">
        <v>38</v>
      </c>
    </row>
    <row r="10" spans="1:4" x14ac:dyDescent="0.25">
      <c r="A10" s="2" t="s">
        <v>39</v>
      </c>
      <c r="B10" s="5">
        <v>60</v>
      </c>
      <c r="C10" s="2" t="s">
        <v>40</v>
      </c>
      <c r="D10" s="6" t="s">
        <v>41</v>
      </c>
    </row>
    <row r="11" spans="1:4" x14ac:dyDescent="0.25">
      <c r="A11" s="2" t="s">
        <v>42</v>
      </c>
      <c r="B11" s="5">
        <v>4</v>
      </c>
      <c r="C11" s="2" t="s">
        <v>37</v>
      </c>
      <c r="D11" s="6" t="s">
        <v>43</v>
      </c>
    </row>
    <row r="12" spans="1:4" x14ac:dyDescent="0.25">
      <c r="A12" s="2" t="s">
        <v>44</v>
      </c>
      <c r="B12" s="5">
        <v>2</v>
      </c>
      <c r="C12" s="2" t="s">
        <v>37</v>
      </c>
      <c r="D12" s="6" t="s">
        <v>32</v>
      </c>
    </row>
    <row r="13" spans="1:4" x14ac:dyDescent="0.25">
      <c r="A13" s="2" t="s">
        <v>45</v>
      </c>
      <c r="B13" s="7">
        <v>0.1</v>
      </c>
      <c r="C13" s="2" t="s">
        <v>46</v>
      </c>
      <c r="D13" s="6" t="s">
        <v>47</v>
      </c>
    </row>
    <row r="14" spans="1:4" x14ac:dyDescent="0.25">
      <c r="A14" s="2" t="s">
        <v>48</v>
      </c>
      <c r="B14" s="7">
        <v>0.7</v>
      </c>
      <c r="C14" s="2" t="s">
        <v>46</v>
      </c>
      <c r="D14" s="6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"/>
  <sheetViews>
    <sheetView workbookViewId="0"/>
  </sheetViews>
  <sheetFormatPr defaultRowHeight="15" outlineLevelRow="0" outlineLevelCol="0" x14ac:dyDescent="55"/>
  <cols>
    <col min="1" max="1" width="38" customWidth="1"/>
    <col min="8" max="8" width="16" customWidth="1"/>
    <col min="9" max="10" width="10" customWidth="1"/>
    <col min="11" max="11" width="12" customWidth="1"/>
  </cols>
  <sheetData>
    <row r="1" spans="1:1" x14ac:dyDescent="0.25">
      <c r="A1" s="1" t="s">
        <v>49</v>
      </c>
    </row>
    <row r="2" spans="1:1" x14ac:dyDescent="0.25">
      <c r="A2" s="6" t="s">
        <v>50</v>
      </c>
    </row>
    <row r="3" spans="1:11" x14ac:dyDescent="0.25">
      <c r="A3" s="4" t="s">
        <v>51</v>
      </c>
      <c r="B3" s="4" t="s">
        <v>52</v>
      </c>
      <c r="C3" s="4" t="s">
        <v>53</v>
      </c>
      <c r="D3" s="4" t="s">
        <v>54</v>
      </c>
      <c r="E3" s="4" t="s">
        <v>55</v>
      </c>
      <c r="F3" s="4" t="s">
        <v>56</v>
      </c>
      <c r="G3" s="4" t="s">
        <v>57</v>
      </c>
      <c r="H3" s="4" t="s">
        <v>58</v>
      </c>
      <c r="I3" s="4" t="s">
        <v>59</v>
      </c>
      <c r="J3" s="4" t="s">
        <v>60</v>
      </c>
      <c r="K3" s="4" t="s">
        <v>61</v>
      </c>
    </row>
    <row r="4" spans="1:11" x14ac:dyDescent="0.25">
      <c r="A4" s="8" t="s">
        <v>62</v>
      </c>
      <c r="B4" s="9">
        <v>1</v>
      </c>
      <c r="C4" s="10">
        <v>3</v>
      </c>
      <c r="D4" s="10">
        <v>5</v>
      </c>
      <c r="E4" s="10">
        <v>5</v>
      </c>
      <c r="F4" s="10">
        <v>5</v>
      </c>
      <c r="G4" s="10">
        <v>3</v>
      </c>
      <c r="H4" s="11">
        <f>GEOMEAN(B4:G4)</f>
        <v>3.22496807972723</v>
      </c>
      <c r="I4" s="12">
        <f>H4/SUM($H$4:$H$9)</f>
        <v>0.418818415053409</v>
      </c>
      <c r="J4" s="11">
        <f>B4*$I$4+C4*$I$5+D4*$I$6+E4*$I$7+F4*$I$8+G4*$I$9</f>
        <v>2.57552118275585</v>
      </c>
      <c r="K4" s="11">
        <f>J4/I4</f>
        <v>6.14949364733022</v>
      </c>
    </row>
    <row r="5" spans="1:11" x14ac:dyDescent="0.25">
      <c r="A5" s="8" t="s">
        <v>63</v>
      </c>
      <c r="B5" s="11">
        <f>1/C4</f>
        <v>0.333333333333333</v>
      </c>
      <c r="C5" s="9">
        <v>1</v>
      </c>
      <c r="D5" s="10">
        <v>3</v>
      </c>
      <c r="E5" s="10">
        <v>3</v>
      </c>
      <c r="F5" s="10">
        <v>3</v>
      </c>
      <c r="G5" s="10">
        <v>1</v>
      </c>
      <c r="H5" s="11">
        <f>GEOMEAN(B5:G5)</f>
        <v>1.44224957030741</v>
      </c>
      <c r="I5" s="12">
        <f>H5/SUM($H$4:$H$9)</f>
        <v>0.187301289257629</v>
      </c>
      <c r="J5" s="11">
        <f>B5*$I$4+C5*$I$5+D5*$I$6+E5*$I$7+F5*$I$8+G5*$I$9</f>
        <v>1.13394573616039</v>
      </c>
      <c r="K5" s="11">
        <f>J5/I5</f>
        <v>6.05412669958015</v>
      </c>
    </row>
    <row r="6" spans="1:11" x14ac:dyDescent="0.25">
      <c r="A6" s="8" t="s">
        <v>64</v>
      </c>
      <c r="B6" s="11">
        <f>1/D4</f>
        <v>0.2</v>
      </c>
      <c r="C6" s="11">
        <f>1/D5</f>
        <v>0.333333333333333</v>
      </c>
      <c r="D6" s="9">
        <v>1</v>
      </c>
      <c r="E6" s="10">
        <v>1</v>
      </c>
      <c r="F6" s="10">
        <v>1</v>
      </c>
      <c r="G6" s="10">
        <v>0.3333333333333333</v>
      </c>
      <c r="H6" s="11">
        <f>GEOMEAN(B6:G6)</f>
        <v>0.530230347836909</v>
      </c>
      <c r="I6" s="12">
        <f>H6/SUM($H$4:$H$9)</f>
        <v>0.0688596688104445</v>
      </c>
      <c r="J6" s="11">
        <f>B6*$I$4+C6*$I$5+D6*$I$6+E6*$I$7+F6*$I$8+G6*$I$9</f>
        <v>0.415210215613768</v>
      </c>
      <c r="K6" s="11">
        <f>J6/I6</f>
        <v>6.02980268111295</v>
      </c>
    </row>
    <row r="7" spans="1:11" x14ac:dyDescent="0.25">
      <c r="A7" s="8" t="s">
        <v>65</v>
      </c>
      <c r="B7" s="11">
        <f>1/E4</f>
        <v>0.2</v>
      </c>
      <c r="C7" s="11">
        <f>1/E5</f>
        <v>0.333333333333333</v>
      </c>
      <c r="D7" s="11">
        <f>1/E6</f>
        <v>1</v>
      </c>
      <c r="E7" s="9">
        <v>1</v>
      </c>
      <c r="F7" s="10">
        <v>1</v>
      </c>
      <c r="G7" s="10">
        <v>0.3333333333333333</v>
      </c>
      <c r="H7" s="11">
        <f>GEOMEAN(B7:G7)</f>
        <v>0.530230347836909</v>
      </c>
      <c r="I7" s="12">
        <f>H7/SUM($H$4:$H$9)</f>
        <v>0.0688596688104445</v>
      </c>
      <c r="J7" s="11">
        <f>B7*$I$4+C7*$I$5+D7*$I$6+E7*$I$7+F7*$I$8+G7*$I$9</f>
        <v>0.415210215613768</v>
      </c>
      <c r="K7" s="11">
        <f>J7/I7</f>
        <v>6.02980268111295</v>
      </c>
    </row>
    <row r="8" spans="1:11" x14ac:dyDescent="0.25">
      <c r="A8" s="8" t="s">
        <v>66</v>
      </c>
      <c r="B8" s="11">
        <f>1/F4</f>
        <v>0.2</v>
      </c>
      <c r="C8" s="11">
        <f>1/F5</f>
        <v>0.333333333333333</v>
      </c>
      <c r="D8" s="11">
        <f>1/F6</f>
        <v>1</v>
      </c>
      <c r="E8" s="11">
        <f>1/F7</f>
        <v>1</v>
      </c>
      <c r="F8" s="9">
        <v>1</v>
      </c>
      <c r="G8" s="10">
        <v>0.3333333333333333</v>
      </c>
      <c r="H8" s="11">
        <f>GEOMEAN(B8:G8)</f>
        <v>0.530230347836909</v>
      </c>
      <c r="I8" s="12">
        <f>H8/SUM($H$4:$H$9)</f>
        <v>0.0688596688104445</v>
      </c>
      <c r="J8" s="11">
        <f>B8*$I$4+C8*$I$5+D8*$I$6+E8*$I$7+F8*$I$8+G8*$I$9</f>
        <v>0.415210215613768</v>
      </c>
      <c r="K8" s="11">
        <f>J8/I8</f>
        <v>6.02980268111295</v>
      </c>
    </row>
    <row r="9" spans="1:11" x14ac:dyDescent="0.25">
      <c r="A9" s="8" t="s">
        <v>67</v>
      </c>
      <c r="B9" s="11">
        <f>1/G4</f>
        <v>0.333333333333333</v>
      </c>
      <c r="C9" s="11">
        <f>1/G5</f>
        <v>1</v>
      </c>
      <c r="D9" s="11">
        <f>1/G6</f>
        <v>3</v>
      </c>
      <c r="E9" s="11">
        <f>1/G7</f>
        <v>3</v>
      </c>
      <c r="F9" s="11">
        <f>1/G8</f>
        <v>3</v>
      </c>
      <c r="G9" s="9">
        <v>1</v>
      </c>
      <c r="H9" s="11">
        <f>GEOMEAN(B9:G9)</f>
        <v>1.44224957030741</v>
      </c>
      <c r="I9" s="12">
        <f>H9/SUM($H$4:$H$9)</f>
        <v>0.187301289257629</v>
      </c>
      <c r="J9" s="11">
        <f>B9*$I$4+C9*$I$5+D9*$I$6+E9*$I$7+F9*$I$8+G9*$I$9</f>
        <v>1.13394573616039</v>
      </c>
      <c r="K9" s="11">
        <f>J9/I9</f>
        <v>6.05412669958015</v>
      </c>
    </row>
    <row r="10" spans="8:9" x14ac:dyDescent="0.25">
      <c r="H10" s="8" t="s">
        <v>68</v>
      </c>
      <c r="I10" s="13">
        <f>SUM(I4:I9)</f>
        <v>1</v>
      </c>
    </row>
    <row r="12" spans="1:2" x14ac:dyDescent="0.25">
      <c r="A12" s="8" t="s">
        <v>69</v>
      </c>
      <c r="B12" s="11">
        <f>AVERAGE(K4:K9)</f>
        <v>6.05785918163823</v>
      </c>
    </row>
    <row r="13" spans="1:2" x14ac:dyDescent="0.25">
      <c r="A13" s="8" t="s">
        <v>70</v>
      </c>
      <c r="B13" s="9">
        <v>6</v>
      </c>
    </row>
    <row r="14" spans="1:2" x14ac:dyDescent="0.25">
      <c r="A14" s="8" t="s">
        <v>71</v>
      </c>
      <c r="B14" s="11">
        <f>(B12-B13)/(B13-1)</f>
        <v>0.011571836327645</v>
      </c>
    </row>
    <row r="15" spans="1:2" x14ac:dyDescent="0.25">
      <c r="A15" s="8" t="s">
        <v>72</v>
      </c>
      <c r="B15" s="7">
        <v>1.24</v>
      </c>
    </row>
    <row r="16" spans="1:2" x14ac:dyDescent="0.25">
      <c r="A16" s="8" t="s">
        <v>73</v>
      </c>
      <c r="B16" s="11">
        <f>B14/B15</f>
        <v>0.00933212607068145</v>
      </c>
    </row>
    <row r="17" spans="1:2" x14ac:dyDescent="0.25">
      <c r="A17" s="8" t="s">
        <v>74</v>
      </c>
      <c r="B17" s="14" t="str">
        <f>IF(B16&lt;0.1,"Consistente (CR &lt; 0,10)","Revisar julgamentos (CR ≥ 0,10)")</f>
        <v>Consistente (CR &lt; 0,10)</v>
      </c>
    </row>
    <row r="19" spans="1:1" x14ac:dyDescent="0.25">
      <c r="A19" s="3" t="s">
        <v>75</v>
      </c>
    </row>
    <row r="20" spans="1:2" x14ac:dyDescent="0.25">
      <c r="A20" s="2" t="s">
        <v>76</v>
      </c>
      <c r="B20" s="2" t="s">
        <v>77</v>
      </c>
    </row>
    <row r="21" spans="1:2" x14ac:dyDescent="0.25">
      <c r="A21" s="2" t="s">
        <v>78</v>
      </c>
      <c r="B21" s="2" t="s">
        <v>79</v>
      </c>
    </row>
    <row r="22" spans="1:2" x14ac:dyDescent="0.25">
      <c r="A22" s="2" t="s">
        <v>80</v>
      </c>
      <c r="B22" s="2" t="s">
        <v>81</v>
      </c>
    </row>
    <row r="23" spans="1:2" x14ac:dyDescent="0.25">
      <c r="A23" s="2" t="s">
        <v>82</v>
      </c>
      <c r="B23" s="2" t="s">
        <v>83</v>
      </c>
    </row>
    <row r="24" spans="1:2" x14ac:dyDescent="0.25">
      <c r="A24" s="2" t="s">
        <v>84</v>
      </c>
      <c r="B24" s="2" t="s">
        <v>85</v>
      </c>
    </row>
    <row r="25" spans="1:2" x14ac:dyDescent="0.25">
      <c r="A25" s="2" t="s">
        <v>86</v>
      </c>
      <c r="B25" s="2" t="s">
        <v>87</v>
      </c>
    </row>
    <row r="26" spans="1:2" x14ac:dyDescent="0.25">
      <c r="A26" s="2" t="s">
        <v>88</v>
      </c>
      <c r="B26" s="2" t="s">
        <v>89</v>
      </c>
    </row>
    <row r="28" spans="1:1" x14ac:dyDescent="0.25">
      <c r="A28" s="3" t="s">
        <v>90</v>
      </c>
    </row>
    <row r="29" spans="1:3" x14ac:dyDescent="0.25">
      <c r="A29" s="4" t="s">
        <v>91</v>
      </c>
      <c r="B29" s="4" t="s">
        <v>92</v>
      </c>
      <c r="C29" s="4" t="s">
        <v>93</v>
      </c>
    </row>
    <row r="30" ht="26" customHeight="1" spans="1:3" x14ac:dyDescent="0.25">
      <c r="A30" s="2" t="s">
        <v>94</v>
      </c>
      <c r="B30" s="11">
        <f>C4</f>
        <v>3</v>
      </c>
      <c r="C30" s="6" t="s">
        <v>95</v>
      </c>
    </row>
    <row r="31" ht="26" customHeight="1" spans="1:3" x14ac:dyDescent="0.25">
      <c r="A31" s="2" t="s">
        <v>96</v>
      </c>
      <c r="B31" s="11">
        <f>D4</f>
        <v>5</v>
      </c>
      <c r="C31" s="6" t="s">
        <v>97</v>
      </c>
    </row>
    <row r="32" ht="26" customHeight="1" spans="1:3" x14ac:dyDescent="0.25">
      <c r="A32" s="2" t="s">
        <v>98</v>
      </c>
      <c r="B32" s="11">
        <f>E4</f>
        <v>5</v>
      </c>
      <c r="C32" s="6" t="s">
        <v>99</v>
      </c>
    </row>
    <row r="33" ht="26" customHeight="1" spans="1:3" x14ac:dyDescent="0.25">
      <c r="A33" s="2" t="s">
        <v>100</v>
      </c>
      <c r="B33" s="11">
        <f>F4</f>
        <v>5</v>
      </c>
      <c r="C33" s="6" t="s">
        <v>101</v>
      </c>
    </row>
    <row r="34" ht="26" customHeight="1" spans="1:3" x14ac:dyDescent="0.25">
      <c r="A34" s="2" t="s">
        <v>102</v>
      </c>
      <c r="B34" s="11">
        <f>G4</f>
        <v>3</v>
      </c>
      <c r="C34" s="6" t="s">
        <v>103</v>
      </c>
    </row>
    <row r="35" ht="26" customHeight="1" spans="1:3" x14ac:dyDescent="0.25">
      <c r="A35" s="2" t="s">
        <v>104</v>
      </c>
      <c r="B35" s="11">
        <f>D5</f>
        <v>3</v>
      </c>
      <c r="C35" s="6" t="s">
        <v>105</v>
      </c>
    </row>
    <row r="36" ht="26" customHeight="1" spans="1:3" x14ac:dyDescent="0.25">
      <c r="A36" s="2" t="s">
        <v>106</v>
      </c>
      <c r="B36" s="11">
        <f>E5</f>
        <v>3</v>
      </c>
      <c r="C36" s="6" t="s">
        <v>107</v>
      </c>
    </row>
    <row r="37" ht="26" customHeight="1" spans="1:3" x14ac:dyDescent="0.25">
      <c r="A37" s="2" t="s">
        <v>108</v>
      </c>
      <c r="B37" s="11">
        <f>F5</f>
        <v>3</v>
      </c>
      <c r="C37" s="6" t="s">
        <v>109</v>
      </c>
    </row>
    <row r="38" ht="26" customHeight="1" spans="1:3" x14ac:dyDescent="0.25">
      <c r="A38" s="2" t="s">
        <v>110</v>
      </c>
      <c r="B38" s="11">
        <f>G5</f>
        <v>1</v>
      </c>
      <c r="C38" s="6" t="s">
        <v>111</v>
      </c>
    </row>
    <row r="39" ht="26" customHeight="1" spans="1:3" x14ac:dyDescent="0.25">
      <c r="A39" s="2" t="s">
        <v>112</v>
      </c>
      <c r="B39" s="11">
        <f>E6</f>
        <v>1</v>
      </c>
      <c r="C39" s="6" t="s">
        <v>113</v>
      </c>
    </row>
    <row r="40" ht="26" customHeight="1" spans="1:3" x14ac:dyDescent="0.25">
      <c r="A40" s="2" t="s">
        <v>114</v>
      </c>
      <c r="B40" s="11">
        <f>F6</f>
        <v>1</v>
      </c>
      <c r="C40" s="6" t="s">
        <v>115</v>
      </c>
    </row>
    <row r="41" ht="26" customHeight="1" spans="1:3" x14ac:dyDescent="0.25">
      <c r="A41" s="2" t="s">
        <v>116</v>
      </c>
      <c r="B41" s="11">
        <f>G6</f>
        <v>0.333333333333333</v>
      </c>
      <c r="C41" s="6" t="s">
        <v>117</v>
      </c>
    </row>
    <row r="42" ht="26" customHeight="1" spans="1:3" x14ac:dyDescent="0.25">
      <c r="A42" s="2" t="s">
        <v>118</v>
      </c>
      <c r="B42" s="11">
        <f>F7</f>
        <v>1</v>
      </c>
      <c r="C42" s="6" t="s">
        <v>119</v>
      </c>
    </row>
    <row r="43" ht="26" customHeight="1" spans="1:3" x14ac:dyDescent="0.25">
      <c r="A43" s="2" t="s">
        <v>120</v>
      </c>
      <c r="B43" s="11">
        <f>G7</f>
        <v>0.333333333333333</v>
      </c>
      <c r="C43" s="6" t="s">
        <v>121</v>
      </c>
    </row>
    <row r="44" ht="26" customHeight="1" spans="1:3" x14ac:dyDescent="0.25">
      <c r="A44" s="2" t="s">
        <v>122</v>
      </c>
      <c r="B44" s="11">
        <f>G8</f>
        <v>0.333333333333333</v>
      </c>
      <c r="C44" s="6" t="s">
        <v>123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/>
  </sheetViews>
  <sheetFormatPr defaultRowHeight="15" outlineLevelRow="0" outlineLevelCol="0" x14ac:dyDescent="55"/>
  <cols>
    <col min="1" max="1" width="36" customWidth="1"/>
    <col min="2" max="6" width="30" customWidth="1"/>
  </cols>
  <sheetData>
    <row r="1" spans="1:1" x14ac:dyDescent="0.25">
      <c r="A1" s="1" t="s">
        <v>124</v>
      </c>
    </row>
    <row r="2" spans="1:1" x14ac:dyDescent="0.25">
      <c r="A2" s="6" t="s">
        <v>125</v>
      </c>
    </row>
    <row r="3" spans="1:6" x14ac:dyDescent="0.25">
      <c r="A3" s="4" t="s">
        <v>51</v>
      </c>
      <c r="B3" s="4" t="s">
        <v>80</v>
      </c>
      <c r="C3" s="4" t="s">
        <v>126</v>
      </c>
      <c r="D3" s="4" t="s">
        <v>78</v>
      </c>
      <c r="E3" s="4" t="s">
        <v>127</v>
      </c>
      <c r="F3" s="4" t="s">
        <v>76</v>
      </c>
    </row>
    <row r="4" ht="54" customHeight="1" spans="1:6" x14ac:dyDescent="0.25">
      <c r="A4" s="8" t="s">
        <v>62</v>
      </c>
      <c r="B4" s="15" t="s">
        <v>128</v>
      </c>
      <c r="C4" s="15" t="s">
        <v>129</v>
      </c>
      <c r="D4" s="15" t="s">
        <v>130</v>
      </c>
      <c r="E4" s="15" t="s">
        <v>131</v>
      </c>
      <c r="F4" s="15" t="s">
        <v>132</v>
      </c>
    </row>
    <row r="5" ht="54" customHeight="1" spans="1:6" x14ac:dyDescent="0.25">
      <c r="A5" s="8" t="s">
        <v>63</v>
      </c>
      <c r="B5" s="15" t="s">
        <v>133</v>
      </c>
      <c r="C5" s="15" t="s">
        <v>134</v>
      </c>
      <c r="D5" s="15" t="s">
        <v>135</v>
      </c>
      <c r="E5" s="15" t="s">
        <v>136</v>
      </c>
      <c r="F5" s="15" t="s">
        <v>137</v>
      </c>
    </row>
    <row r="6" ht="54" customHeight="1" spans="1:6" x14ac:dyDescent="0.25">
      <c r="A6" s="8" t="s">
        <v>64</v>
      </c>
      <c r="B6" s="15" t="s">
        <v>138</v>
      </c>
      <c r="C6" s="15" t="s">
        <v>139</v>
      </c>
      <c r="D6" s="15" t="s">
        <v>140</v>
      </c>
      <c r="E6" s="15" t="s">
        <v>141</v>
      </c>
      <c r="F6" s="15" t="s">
        <v>142</v>
      </c>
    </row>
    <row r="7" ht="54" customHeight="1" spans="1:6" x14ac:dyDescent="0.25">
      <c r="A7" s="8" t="s">
        <v>65</v>
      </c>
      <c r="B7" s="15" t="s">
        <v>143</v>
      </c>
      <c r="C7" s="15" t="s">
        <v>144</v>
      </c>
      <c r="D7" s="15" t="s">
        <v>145</v>
      </c>
      <c r="E7" s="15" t="s">
        <v>146</v>
      </c>
      <c r="F7" s="15" t="s">
        <v>147</v>
      </c>
    </row>
    <row r="8" ht="54" customHeight="1" spans="1:6" x14ac:dyDescent="0.25">
      <c r="A8" s="8" t="s">
        <v>66</v>
      </c>
      <c r="B8" s="15" t="s">
        <v>148</v>
      </c>
      <c r="C8" s="15" t="s">
        <v>149</v>
      </c>
      <c r="D8" s="15" t="s">
        <v>150</v>
      </c>
      <c r="E8" s="15" t="s">
        <v>151</v>
      </c>
      <c r="F8" s="15" t="s">
        <v>152</v>
      </c>
    </row>
    <row r="9" ht="54" customHeight="1" spans="1:6" x14ac:dyDescent="0.25">
      <c r="A9" s="8" t="s">
        <v>67</v>
      </c>
      <c r="B9" s="15" t="s">
        <v>153</v>
      </c>
      <c r="C9" s="15" t="s">
        <v>154</v>
      </c>
      <c r="D9" s="15" t="s">
        <v>155</v>
      </c>
      <c r="E9" s="15" t="s">
        <v>156</v>
      </c>
      <c r="F9" s="15" t="s">
        <v>157</v>
      </c>
    </row>
    <row r="11" spans="1:1" x14ac:dyDescent="0.25">
      <c r="A11" s="6" t="s">
        <v>158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Views>
    <sheetView workbookViewId="0"/>
  </sheetViews>
  <sheetFormatPr defaultRowHeight="15" outlineLevelRow="0" outlineLevelCol="0" x14ac:dyDescent="55"/>
  <cols>
    <col min="1" max="1" width="44" customWidth="1"/>
    <col min="2" max="2" width="10" customWidth="1"/>
    <col min="3" max="5" width="16" customWidth="1"/>
  </cols>
  <sheetData>
    <row r="1" spans="1:1" x14ac:dyDescent="0.25">
      <c r="A1" s="1" t="s">
        <v>159</v>
      </c>
    </row>
    <row r="3" spans="1:1" x14ac:dyDescent="0.25">
      <c r="A3" s="3" t="s">
        <v>160</v>
      </c>
    </row>
    <row r="4" spans="1:5" x14ac:dyDescent="0.25">
      <c r="A4" s="4" t="s">
        <v>51</v>
      </c>
      <c r="B4" s="4" t="s">
        <v>59</v>
      </c>
      <c r="C4" s="4" t="s">
        <v>161</v>
      </c>
      <c r="D4" s="4" t="s">
        <v>162</v>
      </c>
      <c r="E4" s="4" t="s">
        <v>163</v>
      </c>
    </row>
    <row r="5" spans="1:5" x14ac:dyDescent="0.25">
      <c r="A5" s="8" t="s">
        <v>62</v>
      </c>
      <c r="B5" s="16">
        <f>AHP!I4</f>
        <v>0.418818415053409</v>
      </c>
      <c r="C5" s="5">
        <v>2</v>
      </c>
      <c r="D5" s="5">
        <v>5</v>
      </c>
      <c r="E5" s="5">
        <v>4</v>
      </c>
    </row>
    <row r="6" spans="1:5" x14ac:dyDescent="0.25">
      <c r="A6" s="8" t="s">
        <v>63</v>
      </c>
      <c r="B6" s="16">
        <f>AHP!I5</f>
        <v>0.187301289257629</v>
      </c>
      <c r="C6" s="5">
        <v>5</v>
      </c>
      <c r="D6" s="5">
        <v>1</v>
      </c>
      <c r="E6" s="5">
        <v>4</v>
      </c>
    </row>
    <row r="7" spans="1:5" x14ac:dyDescent="0.25">
      <c r="A7" s="8" t="s">
        <v>64</v>
      </c>
      <c r="B7" s="16">
        <f>AHP!I6</f>
        <v>0.0688596688104445</v>
      </c>
      <c r="C7" s="5">
        <v>2</v>
      </c>
      <c r="D7" s="5">
        <v>3</v>
      </c>
      <c r="E7" s="5">
        <v>4</v>
      </c>
    </row>
    <row r="8" spans="1:5" x14ac:dyDescent="0.25">
      <c r="A8" s="8" t="s">
        <v>65</v>
      </c>
      <c r="B8" s="16">
        <f>AHP!I7</f>
        <v>0.0688596688104445</v>
      </c>
      <c r="C8" s="5">
        <v>5</v>
      </c>
      <c r="D8" s="5">
        <v>2</v>
      </c>
      <c r="E8" s="5">
        <v>3</v>
      </c>
    </row>
    <row r="9" spans="1:5" x14ac:dyDescent="0.25">
      <c r="A9" s="8" t="s">
        <v>66</v>
      </c>
      <c r="B9" s="16">
        <f>AHP!I8</f>
        <v>0.0688596688104445</v>
      </c>
      <c r="C9" s="5">
        <v>5</v>
      </c>
      <c r="D9" s="5">
        <v>1</v>
      </c>
      <c r="E9" s="5">
        <v>4</v>
      </c>
    </row>
    <row r="10" spans="1:5" x14ac:dyDescent="0.25">
      <c r="A10" s="8" t="s">
        <v>67</v>
      </c>
      <c r="B10" s="16">
        <f>AHP!I9</f>
        <v>0.187301289257629</v>
      </c>
      <c r="C10" s="5">
        <v>1</v>
      </c>
      <c r="D10" s="5">
        <v>5</v>
      </c>
      <c r="E10" s="5">
        <v>4</v>
      </c>
    </row>
    <row r="11" spans="1:5" x14ac:dyDescent="0.25">
      <c r="A11" s="8" t="s">
        <v>164</v>
      </c>
      <c r="B11" s="13">
        <f>SUM(B5:B10)</f>
        <v>1</v>
      </c>
      <c r="C11" s="17">
        <f>SUMPRODUCT($B$5:$B$10,C5:C10)</f>
        <v>2.78776059137792</v>
      </c>
      <c r="D11" s="17">
        <f>SUMPRODUCT($B$5:$B$10,D5:D10)</f>
        <v>3.63105782367549</v>
      </c>
      <c r="E11" s="17">
        <f>SUMPRODUCT($B$5:$B$10,E5:E10)</f>
        <v>3.93114033118956</v>
      </c>
    </row>
    <row r="13" spans="1:5" x14ac:dyDescent="0.25">
      <c r="A13" s="8" t="s">
        <v>165</v>
      </c>
      <c r="C13" s="18">
        <f>Premissas!$B$11+Premissas!$B$7/Premissas!$B$10</f>
        <v>14</v>
      </c>
      <c r="D13" s="18">
        <f>Premissas!$B$12</f>
        <v>2</v>
      </c>
      <c r="E13" s="18">
        <f>MAX(Premissas!$B$12,Premissas!$B$11+Premissas!$B$6/Premissas!$B$10)</f>
        <v>6.5</v>
      </c>
    </row>
    <row r="14" spans="1:5" x14ac:dyDescent="0.25">
      <c r="A14" s="8" t="s">
        <v>166</v>
      </c>
      <c r="C14" s="18">
        <f>Premissas!$B$9</f>
        <v>8</v>
      </c>
      <c r="D14" s="18">
        <f>Premissas!$B$9</f>
        <v>8</v>
      </c>
      <c r="E14" s="18">
        <f>Premissas!$B$9</f>
        <v>8</v>
      </c>
    </row>
    <row r="15" spans="1:5" x14ac:dyDescent="0.25">
      <c r="A15" s="8" t="s">
        <v>167</v>
      </c>
      <c r="C15" s="14" t="str">
        <f>IF(C13&lt;=C14,"Passa","Não passa")</f>
        <v>Não passa</v>
      </c>
      <c r="D15" s="14" t="str">
        <f>IF(D13&lt;=D14,"Passa","Não passa")</f>
        <v>Passa</v>
      </c>
      <c r="E15" s="14" t="str">
        <f>IF(E13&lt;=E14,"Passa","Não passa")</f>
        <v>Passa</v>
      </c>
    </row>
    <row r="16" spans="1:5" x14ac:dyDescent="0.25">
      <c r="A16" s="8" t="s">
        <v>168</v>
      </c>
      <c r="C16" s="14" t="str">
        <f>IF(C15="Passa",1+SUMPRODUCT(($C$11:$E$11&gt;C11)*($C$15:$E$15="Passa")),"Eliminada")</f>
        <v>Eliminada</v>
      </c>
      <c r="D16" s="14">
        <f>IF(D15="Passa",1+SUMPRODUCT(($C$11:$E$11&gt;D11)*($C$15:$E$15="Passa")),"Eliminada")</f>
        <v>2</v>
      </c>
      <c r="E16" s="14">
        <f>IF(E15="Passa",1+SUMPRODUCT(($C$11:$E$11&gt;E11)*($C$15:$E$15="Passa")),"Eliminada")</f>
        <v>1</v>
      </c>
    </row>
    <row r="19" spans="1:1" x14ac:dyDescent="0.25">
      <c r="A19" s="3" t="s">
        <v>169</v>
      </c>
    </row>
    <row r="20" spans="1:5" x14ac:dyDescent="0.25">
      <c r="A20" s="4" t="s">
        <v>51</v>
      </c>
      <c r="B20" s="4" t="s">
        <v>59</v>
      </c>
      <c r="C20" s="4" t="s">
        <v>161</v>
      </c>
      <c r="D20" s="4" t="s">
        <v>162</v>
      </c>
      <c r="E20" s="4" t="s">
        <v>163</v>
      </c>
    </row>
    <row r="21" spans="1:5" x14ac:dyDescent="0.25">
      <c r="A21" s="8" t="s">
        <v>62</v>
      </c>
      <c r="B21" s="16">
        <f>AHP!I4</f>
        <v>0.418818415053409</v>
      </c>
      <c r="C21" s="5">
        <v>4</v>
      </c>
      <c r="D21" s="5">
        <v>5</v>
      </c>
      <c r="E21" s="5">
        <v>4</v>
      </c>
    </row>
    <row r="22" spans="1:5" x14ac:dyDescent="0.25">
      <c r="A22" s="8" t="s">
        <v>63</v>
      </c>
      <c r="B22" s="16">
        <f>AHP!I5</f>
        <v>0.187301289257629</v>
      </c>
      <c r="C22" s="5">
        <v>5</v>
      </c>
      <c r="D22" s="5">
        <v>1</v>
      </c>
      <c r="E22" s="5">
        <v>4</v>
      </c>
    </row>
    <row r="23" spans="1:5" x14ac:dyDescent="0.25">
      <c r="A23" s="8" t="s">
        <v>64</v>
      </c>
      <c r="B23" s="16">
        <f>AHP!I6</f>
        <v>0.0688596688104445</v>
      </c>
      <c r="C23" s="5">
        <v>4</v>
      </c>
      <c r="D23" s="5">
        <v>3</v>
      </c>
      <c r="E23" s="5">
        <v>4</v>
      </c>
    </row>
    <row r="24" spans="1:5" x14ac:dyDescent="0.25">
      <c r="A24" s="8" t="s">
        <v>65</v>
      </c>
      <c r="B24" s="16">
        <f>AHP!I7</f>
        <v>0.0688596688104445</v>
      </c>
      <c r="C24" s="5">
        <v>5</v>
      </c>
      <c r="D24" s="5">
        <v>2</v>
      </c>
      <c r="E24" s="5">
        <v>3</v>
      </c>
    </row>
    <row r="25" spans="1:5" x14ac:dyDescent="0.25">
      <c r="A25" s="8" t="s">
        <v>66</v>
      </c>
      <c r="B25" s="16">
        <f>AHP!I8</f>
        <v>0.0688596688104445</v>
      </c>
      <c r="C25" s="5">
        <v>5</v>
      </c>
      <c r="D25" s="5">
        <v>1</v>
      </c>
      <c r="E25" s="5">
        <v>4</v>
      </c>
    </row>
    <row r="26" spans="1:5" x14ac:dyDescent="0.25">
      <c r="A26" s="8" t="s">
        <v>67</v>
      </c>
      <c r="B26" s="16">
        <f>AHP!I9</f>
        <v>0.187301289257629</v>
      </c>
      <c r="C26" s="5">
        <v>2</v>
      </c>
      <c r="D26" s="5">
        <v>5</v>
      </c>
      <c r="E26" s="5">
        <v>4</v>
      </c>
    </row>
    <row r="27" spans="1:5" x14ac:dyDescent="0.25">
      <c r="A27" s="8" t="s">
        <v>164</v>
      </c>
      <c r="B27" s="13">
        <f>SUM(B21:B26)</f>
        <v>1</v>
      </c>
      <c r="C27" s="17">
        <f>SUMPRODUCT($B$21:$B$26,C21:C26)</f>
        <v>3.95041804836326</v>
      </c>
      <c r="D27" s="17">
        <f>SUMPRODUCT($B$21:$B$26,D21:D26)</f>
        <v>3.63105782367549</v>
      </c>
      <c r="E27" s="17">
        <f>SUMPRODUCT($B$21:$B$26,E21:E26)</f>
        <v>3.93114033118956</v>
      </c>
    </row>
    <row r="29" spans="1:5" x14ac:dyDescent="0.25">
      <c r="A29" s="8" t="s">
        <v>165</v>
      </c>
      <c r="C29" s="18">
        <f>Premissas!$B$11+Premissas!$B$8/Premissas!$B$10</f>
        <v>5.66666666666667</v>
      </c>
      <c r="D29" s="18">
        <f>Premissas!$B$12</f>
        <v>2</v>
      </c>
      <c r="E29" s="18">
        <f>MAX(Premissas!$B$12,Premissas!$B$11+Premissas!$B$6/Premissas!$B$10)</f>
        <v>6.5</v>
      </c>
    </row>
    <row r="30" spans="1:5" x14ac:dyDescent="0.25">
      <c r="A30" s="8" t="s">
        <v>166</v>
      </c>
      <c r="C30" s="18">
        <f>Premissas!$B$9</f>
        <v>8</v>
      </c>
      <c r="D30" s="18">
        <f>Premissas!$B$9</f>
        <v>8</v>
      </c>
      <c r="E30" s="18">
        <f>Premissas!$B$9</f>
        <v>8</v>
      </c>
    </row>
    <row r="31" spans="1:5" x14ac:dyDescent="0.25">
      <c r="A31" s="8" t="s">
        <v>167</v>
      </c>
      <c r="C31" s="14" t="str">
        <f>IF(C29&lt;=C30,"Passa","Não passa")</f>
        <v>Passa</v>
      </c>
      <c r="D31" s="14" t="str">
        <f>IF(D29&lt;=D30,"Passa","Não passa")</f>
        <v>Passa</v>
      </c>
      <c r="E31" s="14" t="str">
        <f>IF(E29&lt;=E30,"Passa","Não passa")</f>
        <v>Passa</v>
      </c>
    </row>
    <row r="32" spans="1:5" x14ac:dyDescent="0.25">
      <c r="A32" s="8" t="s">
        <v>168</v>
      </c>
      <c r="C32" s="14">
        <f>IF(C31="Passa",1+SUMPRODUCT(($C$27:$E$27&gt;C27)*($C$31:$E$31="Passa")),"Eliminada")</f>
        <v>1</v>
      </c>
      <c r="D32" s="14">
        <f>IF(D31="Passa",1+SUMPRODUCT(($C$27:$E$27&gt;D27)*($C$31:$E$31="Passa")),"Eliminada")</f>
        <v>3</v>
      </c>
      <c r="E32" s="14">
        <f>IF(E31="Passa",1+SUMPRODUCT(($C$27:$E$27&gt;E27)*($C$31:$E$31="Passa")),"Eliminada")</f>
        <v>2</v>
      </c>
    </row>
    <row r="34" spans="1:1" x14ac:dyDescent="0.25">
      <c r="A34" s="6" t="s">
        <v>170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"/>
  <sheetViews>
    <sheetView workbookViewId="0"/>
  </sheetViews>
  <sheetFormatPr defaultRowHeight="15" outlineLevelRow="0" outlineLevelCol="0" x14ac:dyDescent="55"/>
  <cols>
    <col min="1" max="1" width="16" customWidth="1"/>
    <col min="2" max="2" width="10" customWidth="1"/>
    <col min="9" max="9" width="13" customWidth="1"/>
    <col min="10" max="10" width="15" customWidth="1"/>
    <col min="11" max="11" width="11" customWidth="1"/>
    <col min="12" max="12" width="18" customWidth="1"/>
  </cols>
  <sheetData>
    <row r="1" spans="1:1" x14ac:dyDescent="0.25">
      <c r="A1" s="1" t="s">
        <v>171</v>
      </c>
    </row>
    <row r="2" spans="1:1" x14ac:dyDescent="0.25">
      <c r="A2" s="6" t="s">
        <v>172</v>
      </c>
    </row>
    <row r="4" spans="1:1" x14ac:dyDescent="0.25">
      <c r="A4" s="3" t="s">
        <v>173</v>
      </c>
    </row>
    <row r="5" spans="1:12" x14ac:dyDescent="0.25">
      <c r="A5" s="4" t="s">
        <v>174</v>
      </c>
      <c r="B5" s="4" t="s">
        <v>175</v>
      </c>
      <c r="C5" s="4" t="s">
        <v>52</v>
      </c>
      <c r="D5" s="4" t="s">
        <v>53</v>
      </c>
      <c r="E5" s="4" t="s">
        <v>54</v>
      </c>
      <c r="F5" s="4" t="s">
        <v>55</v>
      </c>
      <c r="G5" s="4" t="s">
        <v>56</v>
      </c>
      <c r="H5" s="4" t="s">
        <v>57</v>
      </c>
      <c r="I5" s="4" t="s">
        <v>161</v>
      </c>
      <c r="J5" s="4" t="s">
        <v>162</v>
      </c>
      <c r="K5" s="4" t="s">
        <v>163</v>
      </c>
      <c r="L5" s="4" t="s">
        <v>176</v>
      </c>
    </row>
    <row r="6" spans="1:12" x14ac:dyDescent="0.25">
      <c r="A6" s="9">
        <v>1</v>
      </c>
      <c r="B6" s="19">
        <v>-0.1</v>
      </c>
      <c r="C6" s="12">
        <f>IF(1=$A6,MAX(0,MIN(1,INDEX(AHP!$I$4:$I$9,$A6)+$B6)),INDEX(AHP!$I$4:$I$9,1)*(1-MAX(0,MIN(1,INDEX(AHP!$I$4:$I$9,$A6)+$B6)))/(1-INDEX(AHP!$I$4:$I$9,$A6)))</f>
        <v>0.318818415053409</v>
      </c>
      <c r="D6" s="12">
        <f>IF(2=$A6,MAX(0,MIN(1,INDEX(AHP!$I$4:$I$9,$A6)+$B6)),INDEX(AHP!$I$4:$I$9,2)*(1-MAX(0,MIN(1,INDEX(AHP!$I$4:$I$9,$A6)+$B6)))/(1-INDEX(AHP!$I$4:$I$9,$A6)))</f>
        <v>0.219528960283173</v>
      </c>
      <c r="E6" s="12">
        <f>IF(3=$A6,MAX(0,MIN(1,INDEX(AHP!$I$4:$I$9,$A6)+$B6)),INDEX(AHP!$I$4:$I$9,3)*(1-MAX(0,MIN(1,INDEX(AHP!$I$4:$I$9,$A6)+$B6)))/(1-INDEX(AHP!$I$4:$I$9,$A6)))</f>
        <v>0.0807078881267487</v>
      </c>
      <c r="F6" s="12">
        <f>IF(4=$A6,MAX(0,MIN(1,INDEX(AHP!$I$4:$I$9,$A6)+$B6)),INDEX(AHP!$I$4:$I$9,4)*(1-MAX(0,MIN(1,INDEX(AHP!$I$4:$I$9,$A6)+$B6)))/(1-INDEX(AHP!$I$4:$I$9,$A6)))</f>
        <v>0.0807078881267487</v>
      </c>
      <c r="G6" s="12">
        <f>IF(5=$A6,MAX(0,MIN(1,INDEX(AHP!$I$4:$I$9,$A6)+$B6)),INDEX(AHP!$I$4:$I$9,5)*(1-MAX(0,MIN(1,INDEX(AHP!$I$4:$I$9,$A6)+$B6)))/(1-INDEX(AHP!$I$4:$I$9,$A6)))</f>
        <v>0.0807078881267487</v>
      </c>
      <c r="H6" s="12">
        <f>IF(6=$A6,MAX(0,MIN(1,INDEX(AHP!$I$4:$I$9,$A6)+$B6)),INDEX(AHP!$I$4:$I$9,6)*(1-MAX(0,MIN(1,INDEX(AHP!$I$4:$I$9,$A6)+$B6)))/(1-INDEX(AHP!$I$4:$I$9,$A6)))</f>
        <v>0.219528960283173</v>
      </c>
      <c r="I6" s="20">
        <f>C6*Matriz!C$5+D6*Matriz!C$6+E6*Matriz!C$7+F6*Matriz!C$8+G6*Matriz!C$9+H6*Matriz!C$10</f>
        <v>2.92330524932684</v>
      </c>
      <c r="J6" s="20">
        <f>C6*Matriz!D$5+D6*Matriz!D$6+E6*Matriz!D$7+F6*Matriz!D$8+G6*Matriz!D$9+H6*Matriz!D$10</f>
        <v>3.39551316572657</v>
      </c>
      <c r="K6" s="20">
        <f>C6*Matriz!E$5+D6*Matriz!E$6+E6*Matriz!E$7+F6*Matriz!E$8+G6*Matriz!E$9+H6*Matriz!E$10</f>
        <v>3.91929211187325</v>
      </c>
      <c r="L6" s="14" t="str">
        <f>IF(AND(IF(Matriz!$C$15="Passa",I6,-1)&gt;=IF(Matriz!$D$15="Passa",J6,-1),IF(Matriz!$C$15="Passa",I6,-1)&gt;=IF(Matriz!$E$15="Passa",K6,-1)),$I$5,IF(IF(Matriz!$D$15="Passa",J6,-1)&gt;=IF(Matriz!$E$15="Passa",K6,-1),$J$5,$K$5))</f>
        <v>Híbrido</v>
      </c>
    </row>
    <row r="7" spans="1:12" x14ac:dyDescent="0.25">
      <c r="A7" s="9">
        <v>1</v>
      </c>
      <c r="B7" s="19">
        <v>0.1</v>
      </c>
      <c r="C7" s="12">
        <f>IF(1=$A7,MAX(0,MIN(1,INDEX(AHP!$I$4:$I$9,$A7)+$B7)),INDEX(AHP!$I$4:$I$9,1)*(1-MAX(0,MIN(1,INDEX(AHP!$I$4:$I$9,$A7)+$B7)))/(1-INDEX(AHP!$I$4:$I$9,$A7)))</f>
        <v>0.518818415053409</v>
      </c>
      <c r="D7" s="12">
        <f>IF(2=$A7,MAX(0,MIN(1,INDEX(AHP!$I$4:$I$9,$A7)+$B7)),INDEX(AHP!$I$4:$I$9,2)*(1-MAX(0,MIN(1,INDEX(AHP!$I$4:$I$9,$A7)+$B7)))/(1-INDEX(AHP!$I$4:$I$9,$A7)))</f>
        <v>0.155073618232085</v>
      </c>
      <c r="E7" s="12">
        <f>IF(3=$A7,MAX(0,MIN(1,INDEX(AHP!$I$4:$I$9,$A7)+$B7)),INDEX(AHP!$I$4:$I$9,3)*(1-MAX(0,MIN(1,INDEX(AHP!$I$4:$I$9,$A7)+$B7)))/(1-INDEX(AHP!$I$4:$I$9,$A7)))</f>
        <v>0.0570114494941404</v>
      </c>
      <c r="F7" s="12">
        <f>IF(4=$A7,MAX(0,MIN(1,INDEX(AHP!$I$4:$I$9,$A7)+$B7)),INDEX(AHP!$I$4:$I$9,4)*(1-MAX(0,MIN(1,INDEX(AHP!$I$4:$I$9,$A7)+$B7)))/(1-INDEX(AHP!$I$4:$I$9,$A7)))</f>
        <v>0.0570114494941404</v>
      </c>
      <c r="G7" s="12">
        <f>IF(5=$A7,MAX(0,MIN(1,INDEX(AHP!$I$4:$I$9,$A7)+$B7)),INDEX(AHP!$I$4:$I$9,5)*(1-MAX(0,MIN(1,INDEX(AHP!$I$4:$I$9,$A7)+$B7)))/(1-INDEX(AHP!$I$4:$I$9,$A7)))</f>
        <v>0.0570114494941404</v>
      </c>
      <c r="H7" s="12">
        <f>IF(6=$A7,MAX(0,MIN(1,INDEX(AHP!$I$4:$I$9,$A7)+$B7)),INDEX(AHP!$I$4:$I$9,6)*(1-MAX(0,MIN(1,INDEX(AHP!$I$4:$I$9,$A7)+$B7)))/(1-INDEX(AHP!$I$4:$I$9,$A7)))</f>
        <v>0.155073618232085</v>
      </c>
      <c r="I7" s="20">
        <f>C7*Matriz!C$5+D7*Matriz!C$6+E7*Matriz!C$7+F7*Matriz!C$8+G7*Matriz!C$9+H7*Matriz!C$10</f>
        <v>2.65221593342901</v>
      </c>
      <c r="J7" s="20">
        <f>C7*Matriz!D$5+D7*Matriz!D$6+E7*Matriz!D$7+F7*Matriz!D$8+G7*Matriz!D$9+H7*Matriz!D$10</f>
        <v>3.8666024816244</v>
      </c>
      <c r="K7" s="20">
        <f>C7*Matriz!E$5+D7*Matriz!E$6+E7*Matriz!E$7+F7*Matriz!E$8+G7*Matriz!E$9+H7*Matriz!E$10</f>
        <v>3.94298855050586</v>
      </c>
      <c r="L7" s="14" t="str">
        <f>IF(AND(IF(Matriz!$C$15="Passa",I7,-1)&gt;=IF(Matriz!$D$15="Passa",J7,-1),IF(Matriz!$C$15="Passa",I7,-1)&gt;=IF(Matriz!$E$15="Passa",K7,-1)),$I$5,IF(IF(Matriz!$D$15="Passa",J7,-1)&gt;=IF(Matriz!$E$15="Passa",K7,-1),$J$5,$K$5))</f>
        <v>Híbrido</v>
      </c>
    </row>
    <row r="8" spans="1:12" x14ac:dyDescent="0.25">
      <c r="A8" s="9">
        <v>2</v>
      </c>
      <c r="B8" s="19">
        <v>-0.1</v>
      </c>
      <c r="C8" s="12">
        <f>IF(1=$A8,MAX(0,MIN(1,INDEX(AHP!$I$4:$I$9,$A8)+$B8)),INDEX(AHP!$I$4:$I$9,1)*(1-MAX(0,MIN(1,INDEX(AHP!$I$4:$I$9,$A8)+$B8)))/(1-INDEX(AHP!$I$4:$I$9,$A8)))</f>
        <v>0.470352693318823</v>
      </c>
      <c r="D8" s="12">
        <f>IF(2=$A8,MAX(0,MIN(1,INDEX(AHP!$I$4:$I$9,$A8)+$B8)),INDEX(AHP!$I$4:$I$9,2)*(1-MAX(0,MIN(1,INDEX(AHP!$I$4:$I$9,$A8)+$B8)))/(1-INDEX(AHP!$I$4:$I$9,$A8)))</f>
        <v>0.0873012892576288</v>
      </c>
      <c r="E8" s="12">
        <f>IF(3=$A8,MAX(0,MIN(1,INDEX(AHP!$I$4:$I$9,$A8)+$B8)),INDEX(AHP!$I$4:$I$9,3)*(1-MAX(0,MIN(1,INDEX(AHP!$I$4:$I$9,$A8)+$B8)))/(1-INDEX(AHP!$I$4:$I$9,$A8)))</f>
        <v>0.0773326327637826</v>
      </c>
      <c r="F8" s="12">
        <f>IF(4=$A8,MAX(0,MIN(1,INDEX(AHP!$I$4:$I$9,$A8)+$B8)),INDEX(AHP!$I$4:$I$9,4)*(1-MAX(0,MIN(1,INDEX(AHP!$I$4:$I$9,$A8)+$B8)))/(1-INDEX(AHP!$I$4:$I$9,$A8)))</f>
        <v>0.0773326327637826</v>
      </c>
      <c r="G8" s="12">
        <f>IF(5=$A8,MAX(0,MIN(1,INDEX(AHP!$I$4:$I$9,$A8)+$B8)),INDEX(AHP!$I$4:$I$9,5)*(1-MAX(0,MIN(1,INDEX(AHP!$I$4:$I$9,$A8)+$B8)))/(1-INDEX(AHP!$I$4:$I$9,$A8)))</f>
        <v>0.0773326327637826</v>
      </c>
      <c r="H8" s="12">
        <f>IF(6=$A8,MAX(0,MIN(1,INDEX(AHP!$I$4:$I$9,$A8)+$B8)),INDEX(AHP!$I$4:$I$9,6)*(1-MAX(0,MIN(1,INDEX(AHP!$I$4:$I$9,$A8)+$B8)))/(1-INDEX(AHP!$I$4:$I$9,$A8)))</f>
        <v>0.2103481191322</v>
      </c>
      <c r="I8" s="20">
        <f>C8*Matriz!C$5+D8*Matriz!C$6+E8*Matriz!C$7+F8*Matriz!C$8+G8*Matriz!C$9+H8*Matriz!C$10</f>
        <v>2.51555154522338</v>
      </c>
      <c r="J8" s="20">
        <f>C8*Matriz!D$5+D8*Matriz!D$6+E8*Matriz!D$7+F8*Matriz!D$8+G8*Matriz!D$9+H8*Matriz!D$10</f>
        <v>3.95480114809544</v>
      </c>
      <c r="K8" s="20">
        <f>C8*Matriz!E$5+D8*Matriz!E$6+E8*Matriz!E$7+F8*Matriz!E$8+G8*Matriz!E$9+H8*Matriz!E$10</f>
        <v>3.92266736723622</v>
      </c>
      <c r="L8" s="14" t="str">
        <f>IF(AND(IF(Matriz!$C$15="Passa",I8,-1)&gt;=IF(Matriz!$D$15="Passa",J8,-1),IF(Matriz!$C$15="Passa",I8,-1)&gt;=IF(Matriz!$E$15="Passa",K8,-1)),$I$5,IF(IF(Matriz!$D$15="Passa",J8,-1)&gt;=IF(Matriz!$E$15="Passa",K8,-1),$J$5,$K$5))</f>
        <v>Descentralizado</v>
      </c>
    </row>
    <row r="9" spans="1:12" x14ac:dyDescent="0.25">
      <c r="A9" s="9">
        <v>2</v>
      </c>
      <c r="B9" s="19">
        <v>0.1</v>
      </c>
      <c r="C9" s="12">
        <f>IF(1=$A9,MAX(0,MIN(1,INDEX(AHP!$I$4:$I$9,$A9)+$B9)),INDEX(AHP!$I$4:$I$9,1)*(1-MAX(0,MIN(1,INDEX(AHP!$I$4:$I$9,$A9)+$B9)))/(1-INDEX(AHP!$I$4:$I$9,$A9)))</f>
        <v>0.367284136787995</v>
      </c>
      <c r="D9" s="12">
        <f>IF(2=$A9,MAX(0,MIN(1,INDEX(AHP!$I$4:$I$9,$A9)+$B9)),INDEX(AHP!$I$4:$I$9,2)*(1-MAX(0,MIN(1,INDEX(AHP!$I$4:$I$9,$A9)+$B9)))/(1-INDEX(AHP!$I$4:$I$9,$A9)))</f>
        <v>0.287301289257629</v>
      </c>
      <c r="E9" s="12">
        <f>IF(3=$A9,MAX(0,MIN(1,INDEX(AHP!$I$4:$I$9,$A9)+$B9)),INDEX(AHP!$I$4:$I$9,3)*(1-MAX(0,MIN(1,INDEX(AHP!$I$4:$I$9,$A9)+$B9)))/(1-INDEX(AHP!$I$4:$I$9,$A9)))</f>
        <v>0.0603867048571064</v>
      </c>
      <c r="F9" s="12">
        <f>IF(4=$A9,MAX(0,MIN(1,INDEX(AHP!$I$4:$I$9,$A9)+$B9)),INDEX(AHP!$I$4:$I$9,4)*(1-MAX(0,MIN(1,INDEX(AHP!$I$4:$I$9,$A9)+$B9)))/(1-INDEX(AHP!$I$4:$I$9,$A9)))</f>
        <v>0.0603867048571064</v>
      </c>
      <c r="G9" s="12">
        <f>IF(5=$A9,MAX(0,MIN(1,INDEX(AHP!$I$4:$I$9,$A9)+$B9)),INDEX(AHP!$I$4:$I$9,5)*(1-MAX(0,MIN(1,INDEX(AHP!$I$4:$I$9,$A9)+$B9)))/(1-INDEX(AHP!$I$4:$I$9,$A9)))</f>
        <v>0.0603867048571064</v>
      </c>
      <c r="H9" s="12">
        <f>IF(6=$A9,MAX(0,MIN(1,INDEX(AHP!$I$4:$I$9,$A9)+$B9)),INDEX(AHP!$I$4:$I$9,6)*(1-MAX(0,MIN(1,INDEX(AHP!$I$4:$I$9,$A9)+$B9)))/(1-INDEX(AHP!$I$4:$I$9,$A9)))</f>
        <v>0.164254459383057</v>
      </c>
      <c r="I9" s="20">
        <f>C9*Matriz!C$5+D9*Matriz!C$6+E9*Matriz!C$7+F9*Matriz!C$8+G9*Matriz!C$9+H9*Matriz!C$10</f>
        <v>3.05996963753247</v>
      </c>
      <c r="J9" s="20">
        <f>C9*Matriz!D$5+D9*Matriz!D$6+E9*Matriz!D$7+F9*Matriz!D$8+G9*Matriz!D$9+H9*Matriz!D$10</f>
        <v>3.30731449925553</v>
      </c>
      <c r="K9" s="20">
        <f>C9*Matriz!E$5+D9*Matriz!E$6+E9*Matriz!E$7+F9*Matriz!E$8+G9*Matriz!E$9+H9*Matriz!E$10</f>
        <v>3.93961329514289</v>
      </c>
      <c r="L9" s="14" t="str">
        <f>IF(AND(IF(Matriz!$C$15="Passa",I9,-1)&gt;=IF(Matriz!$D$15="Passa",J9,-1),IF(Matriz!$C$15="Passa",I9,-1)&gt;=IF(Matriz!$E$15="Passa",K9,-1)),$I$5,IF(IF(Matriz!$D$15="Passa",J9,-1)&gt;=IF(Matriz!$E$15="Passa",K9,-1),$J$5,$K$5))</f>
        <v>Híbrido</v>
      </c>
    </row>
    <row r="10" spans="1:12" x14ac:dyDescent="0.25">
      <c r="A10" s="9">
        <v>3</v>
      </c>
      <c r="B10" s="19">
        <v>-0.1</v>
      </c>
      <c r="C10" s="12">
        <f>IF(1=$A10,MAX(0,MIN(1,INDEX(AHP!$I$4:$I$9,$A10)+$B10)),INDEX(AHP!$I$4:$I$9,1)*(1-MAX(0,MIN(1,INDEX(AHP!$I$4:$I$9,$A10)+$B10)))/(1-INDEX(AHP!$I$4:$I$9,$A10)))</f>
        <v>0.449790865055064</v>
      </c>
      <c r="D10" s="12">
        <f>IF(2=$A10,MAX(0,MIN(1,INDEX(AHP!$I$4:$I$9,$A10)+$B10)),INDEX(AHP!$I$4:$I$9,2)*(1-MAX(0,MIN(1,INDEX(AHP!$I$4:$I$9,$A10)+$B10)))/(1-INDEX(AHP!$I$4:$I$9,$A10)))</f>
        <v>0.201152589984312</v>
      </c>
      <c r="E10" s="12">
        <f>IF(3=$A10,MAX(0,MIN(1,INDEX(AHP!$I$4:$I$9,$A10)+$B10)),INDEX(AHP!$I$4:$I$9,3)*(1-MAX(0,MIN(1,INDEX(AHP!$I$4:$I$9,$A10)+$B10)))/(1-INDEX(AHP!$I$4:$I$9,$A10)))</f>
        <v>0</v>
      </c>
      <c r="F10" s="12">
        <f>IF(4=$A10,MAX(0,MIN(1,INDEX(AHP!$I$4:$I$9,$A10)+$B10)),INDEX(AHP!$I$4:$I$9,4)*(1-MAX(0,MIN(1,INDEX(AHP!$I$4:$I$9,$A10)+$B10)))/(1-INDEX(AHP!$I$4:$I$9,$A10)))</f>
        <v>0.0739519774881564</v>
      </c>
      <c r="G10" s="12">
        <f>IF(5=$A10,MAX(0,MIN(1,INDEX(AHP!$I$4:$I$9,$A10)+$B10)),INDEX(AHP!$I$4:$I$9,5)*(1-MAX(0,MIN(1,INDEX(AHP!$I$4:$I$9,$A10)+$B10)))/(1-INDEX(AHP!$I$4:$I$9,$A10)))</f>
        <v>0.0739519774881564</v>
      </c>
      <c r="H10" s="12">
        <f>IF(6=$A10,MAX(0,MIN(1,INDEX(AHP!$I$4:$I$9,$A10)+$B10)),INDEX(AHP!$I$4:$I$9,6)*(1-MAX(0,MIN(1,INDEX(AHP!$I$4:$I$9,$A10)+$B10)))/(1-INDEX(AHP!$I$4:$I$9,$A10)))</f>
        <v>0.201152589984312</v>
      </c>
      <c r="I10" s="20">
        <f>C10*Matriz!C$5+D10*Matriz!C$6+E10*Matriz!C$7+F10*Matriz!C$8+G10*Matriz!C$9+H10*Matriz!C$10</f>
        <v>2.84601704489756</v>
      </c>
      <c r="J10" s="20">
        <f>C10*Matriz!D$5+D10*Matriz!D$6+E10*Matriz!D$7+F10*Matriz!D$8+G10*Matriz!D$9+H10*Matriz!D$10</f>
        <v>3.67772579764566</v>
      </c>
      <c r="K10" s="20">
        <f>C10*Matriz!E$5+D10*Matriz!E$6+E10*Matriz!E$7+F10*Matriz!E$8+G10*Matriz!E$9+H10*Matriz!E$10</f>
        <v>3.92604802251184</v>
      </c>
      <c r="L10" s="14" t="str">
        <f>IF(AND(IF(Matriz!$C$15="Passa",I10,-1)&gt;=IF(Matriz!$D$15="Passa",J10,-1),IF(Matriz!$C$15="Passa",I10,-1)&gt;=IF(Matriz!$E$15="Passa",K10,-1)),$I$5,IF(IF(Matriz!$D$15="Passa",J10,-1)&gt;=IF(Matriz!$E$15="Passa",K10,-1),$J$5,$K$5))</f>
        <v>Híbrido</v>
      </c>
    </row>
    <row r="11" spans="1:12" x14ac:dyDescent="0.25">
      <c r="A11" s="9">
        <v>3</v>
      </c>
      <c r="B11" s="19">
        <v>0.1</v>
      </c>
      <c r="C11" s="12">
        <f>IF(1=$A11,MAX(0,MIN(1,INDEX(AHP!$I$4:$I$9,$A11)+$B11)),INDEX(AHP!$I$4:$I$9,1)*(1-MAX(0,MIN(1,INDEX(AHP!$I$4:$I$9,$A11)+$B11)))/(1-INDEX(AHP!$I$4:$I$9,$A11)))</f>
        <v>0.373839328547903</v>
      </c>
      <c r="D11" s="12">
        <f>IF(2=$A11,MAX(0,MIN(1,INDEX(AHP!$I$4:$I$9,$A11)+$B11)),INDEX(AHP!$I$4:$I$9,2)*(1-MAX(0,MIN(1,INDEX(AHP!$I$4:$I$9,$A11)+$B11)))/(1-INDEX(AHP!$I$4:$I$9,$A11)))</f>
        <v>0.167186030259198</v>
      </c>
      <c r="E11" s="12">
        <f>IF(3=$A11,MAX(0,MIN(1,INDEX(AHP!$I$4:$I$9,$A11)+$B11)),INDEX(AHP!$I$4:$I$9,3)*(1-MAX(0,MIN(1,INDEX(AHP!$I$4:$I$9,$A11)+$B11)))/(1-INDEX(AHP!$I$4:$I$9,$A11)))</f>
        <v>0.168859668810445</v>
      </c>
      <c r="F11" s="12">
        <f>IF(4=$A11,MAX(0,MIN(1,INDEX(AHP!$I$4:$I$9,$A11)+$B11)),INDEX(AHP!$I$4:$I$9,4)*(1-MAX(0,MIN(1,INDEX(AHP!$I$4:$I$9,$A11)+$B11)))/(1-INDEX(AHP!$I$4:$I$9,$A11)))</f>
        <v>0.0614644710616289</v>
      </c>
      <c r="G11" s="12">
        <f>IF(5=$A11,MAX(0,MIN(1,INDEX(AHP!$I$4:$I$9,$A11)+$B11)),INDEX(AHP!$I$4:$I$9,5)*(1-MAX(0,MIN(1,INDEX(AHP!$I$4:$I$9,$A11)+$B11)))/(1-INDEX(AHP!$I$4:$I$9,$A11)))</f>
        <v>0.0614644710616289</v>
      </c>
      <c r="H11" s="12">
        <f>IF(6=$A11,MAX(0,MIN(1,INDEX(AHP!$I$4:$I$9,$A11)+$B11)),INDEX(AHP!$I$4:$I$9,6)*(1-MAX(0,MIN(1,INDEX(AHP!$I$4:$I$9,$A11)+$B11)))/(1-INDEX(AHP!$I$4:$I$9,$A11)))</f>
        <v>0.167186030259198</v>
      </c>
      <c r="I11" s="20">
        <f>C11*Matriz!C$5+D11*Matriz!C$6+E11*Matriz!C$7+F11*Matriz!C$8+G11*Matriz!C$9+H11*Matriz!C$10</f>
        <v>2.70315888688817</v>
      </c>
      <c r="J11" s="20">
        <f>C11*Matriz!D$5+D11*Matriz!D$6+E11*Matriz!D$7+F11*Matriz!D$8+G11*Matriz!D$9+H11*Matriz!D$10</f>
        <v>3.56328524391092</v>
      </c>
      <c r="K11" s="20">
        <f>C11*Matriz!E$5+D11*Matriz!E$6+E11*Matriz!E$7+F11*Matriz!E$8+G11*Matriz!E$9+H11*Matriz!E$10</f>
        <v>3.93853552893837</v>
      </c>
      <c r="L11" s="14" t="str">
        <f>IF(AND(IF(Matriz!$C$15="Passa",I11,-1)&gt;=IF(Matriz!$D$15="Passa",J11,-1),IF(Matriz!$C$15="Passa",I11,-1)&gt;=IF(Matriz!$E$15="Passa",K11,-1)),$I$5,IF(IF(Matriz!$D$15="Passa",J11,-1)&gt;=IF(Matriz!$E$15="Passa",K11,-1),$J$5,$K$5))</f>
        <v>Híbrido</v>
      </c>
    </row>
    <row r="12" spans="1:12" x14ac:dyDescent="0.25">
      <c r="A12" s="9">
        <v>4</v>
      </c>
      <c r="B12" s="19">
        <v>-0.1</v>
      </c>
      <c r="C12" s="12">
        <f>IF(1=$A12,MAX(0,MIN(1,INDEX(AHP!$I$4:$I$9,$A12)+$B12)),INDEX(AHP!$I$4:$I$9,1)*(1-MAX(0,MIN(1,INDEX(AHP!$I$4:$I$9,$A12)+$B12)))/(1-INDEX(AHP!$I$4:$I$9,$A12)))</f>
        <v>0.449790865055064</v>
      </c>
      <c r="D12" s="12">
        <f>IF(2=$A12,MAX(0,MIN(1,INDEX(AHP!$I$4:$I$9,$A12)+$B12)),INDEX(AHP!$I$4:$I$9,2)*(1-MAX(0,MIN(1,INDEX(AHP!$I$4:$I$9,$A12)+$B12)))/(1-INDEX(AHP!$I$4:$I$9,$A12)))</f>
        <v>0.201152589984312</v>
      </c>
      <c r="E12" s="12">
        <f>IF(3=$A12,MAX(0,MIN(1,INDEX(AHP!$I$4:$I$9,$A12)+$B12)),INDEX(AHP!$I$4:$I$9,3)*(1-MAX(0,MIN(1,INDEX(AHP!$I$4:$I$9,$A12)+$B12)))/(1-INDEX(AHP!$I$4:$I$9,$A12)))</f>
        <v>0.0739519774881564</v>
      </c>
      <c r="F12" s="12">
        <f>IF(4=$A12,MAX(0,MIN(1,INDEX(AHP!$I$4:$I$9,$A12)+$B12)),INDEX(AHP!$I$4:$I$9,4)*(1-MAX(0,MIN(1,INDEX(AHP!$I$4:$I$9,$A12)+$B12)))/(1-INDEX(AHP!$I$4:$I$9,$A12)))</f>
        <v>0</v>
      </c>
      <c r="G12" s="12">
        <f>IF(5=$A12,MAX(0,MIN(1,INDEX(AHP!$I$4:$I$9,$A12)+$B12)),INDEX(AHP!$I$4:$I$9,5)*(1-MAX(0,MIN(1,INDEX(AHP!$I$4:$I$9,$A12)+$B12)))/(1-INDEX(AHP!$I$4:$I$9,$A12)))</f>
        <v>0.0739519774881564</v>
      </c>
      <c r="H12" s="12">
        <f>IF(6=$A12,MAX(0,MIN(1,INDEX(AHP!$I$4:$I$9,$A12)+$B12)),INDEX(AHP!$I$4:$I$9,6)*(1-MAX(0,MIN(1,INDEX(AHP!$I$4:$I$9,$A12)+$B12)))/(1-INDEX(AHP!$I$4:$I$9,$A12)))</f>
        <v>0.201152589984312</v>
      </c>
      <c r="I12" s="20">
        <f>C12*Matriz!C$5+D12*Matriz!C$6+E12*Matriz!C$7+F12*Matriz!C$8+G12*Matriz!C$9+H12*Matriz!C$10</f>
        <v>2.62416111243309</v>
      </c>
      <c r="J12" s="20">
        <f>C12*Matriz!D$5+D12*Matriz!D$6+E12*Matriz!D$7+F12*Matriz!D$8+G12*Matriz!D$9+H12*Matriz!D$10</f>
        <v>3.75167777513382</v>
      </c>
      <c r="K12" s="20">
        <f>C12*Matriz!E$5+D12*Matriz!E$6+E12*Matriz!E$7+F12*Matriz!E$8+G12*Matriz!E$9+H12*Matriz!E$10</f>
        <v>4</v>
      </c>
      <c r="L12" s="14" t="str">
        <f>IF(AND(IF(Matriz!$C$15="Passa",I12,-1)&gt;=IF(Matriz!$D$15="Passa",J12,-1),IF(Matriz!$C$15="Passa",I12,-1)&gt;=IF(Matriz!$E$15="Passa",K12,-1)),$I$5,IF(IF(Matriz!$D$15="Passa",J12,-1)&gt;=IF(Matriz!$E$15="Passa",K12,-1),$J$5,$K$5))</f>
        <v>Híbrido</v>
      </c>
    </row>
    <row r="13" spans="1:12" x14ac:dyDescent="0.25">
      <c r="A13" s="9">
        <v>4</v>
      </c>
      <c r="B13" s="19">
        <v>0.1</v>
      </c>
      <c r="C13" s="12">
        <f>IF(1=$A13,MAX(0,MIN(1,INDEX(AHP!$I$4:$I$9,$A13)+$B13)),INDEX(AHP!$I$4:$I$9,1)*(1-MAX(0,MIN(1,INDEX(AHP!$I$4:$I$9,$A13)+$B13)))/(1-INDEX(AHP!$I$4:$I$9,$A13)))</f>
        <v>0.373839328547903</v>
      </c>
      <c r="D13" s="12">
        <f>IF(2=$A13,MAX(0,MIN(1,INDEX(AHP!$I$4:$I$9,$A13)+$B13)),INDEX(AHP!$I$4:$I$9,2)*(1-MAX(0,MIN(1,INDEX(AHP!$I$4:$I$9,$A13)+$B13)))/(1-INDEX(AHP!$I$4:$I$9,$A13)))</f>
        <v>0.167186030259198</v>
      </c>
      <c r="E13" s="12">
        <f>IF(3=$A13,MAX(0,MIN(1,INDEX(AHP!$I$4:$I$9,$A13)+$B13)),INDEX(AHP!$I$4:$I$9,3)*(1-MAX(0,MIN(1,INDEX(AHP!$I$4:$I$9,$A13)+$B13)))/(1-INDEX(AHP!$I$4:$I$9,$A13)))</f>
        <v>0.0614644710616289</v>
      </c>
      <c r="F13" s="12">
        <f>IF(4=$A13,MAX(0,MIN(1,INDEX(AHP!$I$4:$I$9,$A13)+$B13)),INDEX(AHP!$I$4:$I$9,4)*(1-MAX(0,MIN(1,INDEX(AHP!$I$4:$I$9,$A13)+$B13)))/(1-INDEX(AHP!$I$4:$I$9,$A13)))</f>
        <v>0.168859668810445</v>
      </c>
      <c r="G13" s="12">
        <f>IF(5=$A13,MAX(0,MIN(1,INDEX(AHP!$I$4:$I$9,$A13)+$B13)),INDEX(AHP!$I$4:$I$9,5)*(1-MAX(0,MIN(1,INDEX(AHP!$I$4:$I$9,$A13)+$B13)))/(1-INDEX(AHP!$I$4:$I$9,$A13)))</f>
        <v>0.0614644710616289</v>
      </c>
      <c r="H13" s="12">
        <f>IF(6=$A13,MAX(0,MIN(1,INDEX(AHP!$I$4:$I$9,$A13)+$B13)),INDEX(AHP!$I$4:$I$9,6)*(1-MAX(0,MIN(1,INDEX(AHP!$I$4:$I$9,$A13)+$B13)))/(1-INDEX(AHP!$I$4:$I$9,$A13)))</f>
        <v>0.167186030259198</v>
      </c>
      <c r="I13" s="20">
        <f>C13*Matriz!C$5+D13*Matriz!C$6+E13*Matriz!C$7+F13*Matriz!C$8+G13*Matriz!C$9+H13*Matriz!C$10</f>
        <v>3.02534448013462</v>
      </c>
      <c r="J13" s="20">
        <f>C13*Matriz!D$5+D13*Matriz!D$6+E13*Matriz!D$7+F13*Matriz!D$8+G13*Matriz!D$9+H13*Matriz!D$10</f>
        <v>3.4558900461621</v>
      </c>
      <c r="K13" s="20">
        <f>C13*Matriz!E$5+D13*Matriz!E$6+E13*Matriz!E$7+F13*Matriz!E$8+G13*Matriz!E$9+H13*Matriz!E$10</f>
        <v>3.83114033118956</v>
      </c>
      <c r="L13" s="14" t="str">
        <f>IF(AND(IF(Matriz!$C$15="Passa",I13,-1)&gt;=IF(Matriz!$D$15="Passa",J13,-1),IF(Matriz!$C$15="Passa",I13,-1)&gt;=IF(Matriz!$E$15="Passa",K13,-1)),$I$5,IF(IF(Matriz!$D$15="Passa",J13,-1)&gt;=IF(Matriz!$E$15="Passa",K13,-1),$J$5,$K$5))</f>
        <v>Híbrido</v>
      </c>
    </row>
    <row r="14" spans="1:12" x14ac:dyDescent="0.25">
      <c r="A14" s="9">
        <v>5</v>
      </c>
      <c r="B14" s="19">
        <v>-0.1</v>
      </c>
      <c r="C14" s="12">
        <f>IF(1=$A14,MAX(0,MIN(1,INDEX(AHP!$I$4:$I$9,$A14)+$B14)),INDEX(AHP!$I$4:$I$9,1)*(1-MAX(0,MIN(1,INDEX(AHP!$I$4:$I$9,$A14)+$B14)))/(1-INDEX(AHP!$I$4:$I$9,$A14)))</f>
        <v>0.449790865055064</v>
      </c>
      <c r="D14" s="12">
        <f>IF(2=$A14,MAX(0,MIN(1,INDEX(AHP!$I$4:$I$9,$A14)+$B14)),INDEX(AHP!$I$4:$I$9,2)*(1-MAX(0,MIN(1,INDEX(AHP!$I$4:$I$9,$A14)+$B14)))/(1-INDEX(AHP!$I$4:$I$9,$A14)))</f>
        <v>0.201152589984312</v>
      </c>
      <c r="E14" s="12">
        <f>IF(3=$A14,MAX(0,MIN(1,INDEX(AHP!$I$4:$I$9,$A14)+$B14)),INDEX(AHP!$I$4:$I$9,3)*(1-MAX(0,MIN(1,INDEX(AHP!$I$4:$I$9,$A14)+$B14)))/(1-INDEX(AHP!$I$4:$I$9,$A14)))</f>
        <v>0.0739519774881564</v>
      </c>
      <c r="F14" s="12">
        <f>IF(4=$A14,MAX(0,MIN(1,INDEX(AHP!$I$4:$I$9,$A14)+$B14)),INDEX(AHP!$I$4:$I$9,4)*(1-MAX(0,MIN(1,INDEX(AHP!$I$4:$I$9,$A14)+$B14)))/(1-INDEX(AHP!$I$4:$I$9,$A14)))</f>
        <v>0.0739519774881564</v>
      </c>
      <c r="G14" s="12">
        <f>IF(5=$A14,MAX(0,MIN(1,INDEX(AHP!$I$4:$I$9,$A14)+$B14)),INDEX(AHP!$I$4:$I$9,5)*(1-MAX(0,MIN(1,INDEX(AHP!$I$4:$I$9,$A14)+$B14)))/(1-INDEX(AHP!$I$4:$I$9,$A14)))</f>
        <v>0</v>
      </c>
      <c r="H14" s="12">
        <f>IF(6=$A14,MAX(0,MIN(1,INDEX(AHP!$I$4:$I$9,$A14)+$B14)),INDEX(AHP!$I$4:$I$9,6)*(1-MAX(0,MIN(1,INDEX(AHP!$I$4:$I$9,$A14)+$B14)))/(1-INDEX(AHP!$I$4:$I$9,$A14)))</f>
        <v>0.201152589984312</v>
      </c>
      <c r="I14" s="20">
        <f>C14*Matriz!C$5+D14*Matriz!C$6+E14*Matriz!C$7+F14*Matriz!C$8+G14*Matriz!C$9+H14*Matriz!C$10</f>
        <v>2.62416111243309</v>
      </c>
      <c r="J14" s="20">
        <f>C14*Matriz!D$5+D14*Matriz!D$6+E14*Matriz!D$7+F14*Matriz!D$8+G14*Matriz!D$9+H14*Matriz!D$10</f>
        <v>3.82562975262197</v>
      </c>
      <c r="K14" s="20">
        <f>C14*Matriz!E$5+D14*Matriz!E$6+E14*Matriz!E$7+F14*Matriz!E$8+G14*Matriz!E$9+H14*Matriz!E$10</f>
        <v>3.92604802251184</v>
      </c>
      <c r="L14" s="14" t="str">
        <f>IF(AND(IF(Matriz!$C$15="Passa",I14,-1)&gt;=IF(Matriz!$D$15="Passa",J14,-1),IF(Matriz!$C$15="Passa",I14,-1)&gt;=IF(Matriz!$E$15="Passa",K14,-1)),$I$5,IF(IF(Matriz!$D$15="Passa",J14,-1)&gt;=IF(Matriz!$E$15="Passa",K14,-1),$J$5,$K$5))</f>
        <v>Híbrido</v>
      </c>
    </row>
    <row r="15" spans="1:12" x14ac:dyDescent="0.25">
      <c r="A15" s="9">
        <v>5</v>
      </c>
      <c r="B15" s="19">
        <v>0.1</v>
      </c>
      <c r="C15" s="12">
        <f>IF(1=$A15,MAX(0,MIN(1,INDEX(AHP!$I$4:$I$9,$A15)+$B15)),INDEX(AHP!$I$4:$I$9,1)*(1-MAX(0,MIN(1,INDEX(AHP!$I$4:$I$9,$A15)+$B15)))/(1-INDEX(AHP!$I$4:$I$9,$A15)))</f>
        <v>0.373839328547903</v>
      </c>
      <c r="D15" s="12">
        <f>IF(2=$A15,MAX(0,MIN(1,INDEX(AHP!$I$4:$I$9,$A15)+$B15)),INDEX(AHP!$I$4:$I$9,2)*(1-MAX(0,MIN(1,INDEX(AHP!$I$4:$I$9,$A15)+$B15)))/(1-INDEX(AHP!$I$4:$I$9,$A15)))</f>
        <v>0.167186030259198</v>
      </c>
      <c r="E15" s="12">
        <f>IF(3=$A15,MAX(0,MIN(1,INDEX(AHP!$I$4:$I$9,$A15)+$B15)),INDEX(AHP!$I$4:$I$9,3)*(1-MAX(0,MIN(1,INDEX(AHP!$I$4:$I$9,$A15)+$B15)))/(1-INDEX(AHP!$I$4:$I$9,$A15)))</f>
        <v>0.0614644710616289</v>
      </c>
      <c r="F15" s="12">
        <f>IF(4=$A15,MAX(0,MIN(1,INDEX(AHP!$I$4:$I$9,$A15)+$B15)),INDEX(AHP!$I$4:$I$9,4)*(1-MAX(0,MIN(1,INDEX(AHP!$I$4:$I$9,$A15)+$B15)))/(1-INDEX(AHP!$I$4:$I$9,$A15)))</f>
        <v>0.0614644710616289</v>
      </c>
      <c r="G15" s="12">
        <f>IF(5=$A15,MAX(0,MIN(1,INDEX(AHP!$I$4:$I$9,$A15)+$B15)),INDEX(AHP!$I$4:$I$9,5)*(1-MAX(0,MIN(1,INDEX(AHP!$I$4:$I$9,$A15)+$B15)))/(1-INDEX(AHP!$I$4:$I$9,$A15)))</f>
        <v>0.168859668810445</v>
      </c>
      <c r="H15" s="12">
        <f>IF(6=$A15,MAX(0,MIN(1,INDEX(AHP!$I$4:$I$9,$A15)+$B15)),INDEX(AHP!$I$4:$I$9,6)*(1-MAX(0,MIN(1,INDEX(AHP!$I$4:$I$9,$A15)+$B15)))/(1-INDEX(AHP!$I$4:$I$9,$A15)))</f>
        <v>0.167186030259198</v>
      </c>
      <c r="I15" s="20">
        <f>C15*Matriz!C$5+D15*Matriz!C$6+E15*Matriz!C$7+F15*Matriz!C$8+G15*Matriz!C$9+H15*Matriz!C$10</f>
        <v>3.02534448013462</v>
      </c>
      <c r="J15" s="20">
        <f>C15*Matriz!D$5+D15*Matriz!D$6+E15*Matriz!D$7+F15*Matriz!D$8+G15*Matriz!D$9+H15*Matriz!D$10</f>
        <v>3.34849484841329</v>
      </c>
      <c r="K15" s="20">
        <f>C15*Matriz!E$5+D15*Matriz!E$6+E15*Matriz!E$7+F15*Matriz!E$8+G15*Matriz!E$9+H15*Matriz!E$10</f>
        <v>3.93853552893837</v>
      </c>
      <c r="L15" s="14" t="str">
        <f>IF(AND(IF(Matriz!$C$15="Passa",I15,-1)&gt;=IF(Matriz!$D$15="Passa",J15,-1),IF(Matriz!$C$15="Passa",I15,-1)&gt;=IF(Matriz!$E$15="Passa",K15,-1)),$I$5,IF(IF(Matriz!$D$15="Passa",J15,-1)&gt;=IF(Matriz!$E$15="Passa",K15,-1),$J$5,$K$5))</f>
        <v>Híbrido</v>
      </c>
    </row>
    <row r="16" spans="1:12" x14ac:dyDescent="0.25">
      <c r="A16" s="9">
        <v>6</v>
      </c>
      <c r="B16" s="19">
        <v>-0.1</v>
      </c>
      <c r="C16" s="12">
        <f>IF(1=$A16,MAX(0,MIN(1,INDEX(AHP!$I$4:$I$9,$A16)+$B16)),INDEX(AHP!$I$4:$I$9,1)*(1-MAX(0,MIN(1,INDEX(AHP!$I$4:$I$9,$A16)+$B16)))/(1-INDEX(AHP!$I$4:$I$9,$A16)))</f>
        <v>0.470352693318823</v>
      </c>
      <c r="D16" s="12">
        <f>IF(2=$A16,MAX(0,MIN(1,INDEX(AHP!$I$4:$I$9,$A16)+$B16)),INDEX(AHP!$I$4:$I$9,2)*(1-MAX(0,MIN(1,INDEX(AHP!$I$4:$I$9,$A16)+$B16)))/(1-INDEX(AHP!$I$4:$I$9,$A16)))</f>
        <v>0.2103481191322</v>
      </c>
      <c r="E16" s="12">
        <f>IF(3=$A16,MAX(0,MIN(1,INDEX(AHP!$I$4:$I$9,$A16)+$B16)),INDEX(AHP!$I$4:$I$9,3)*(1-MAX(0,MIN(1,INDEX(AHP!$I$4:$I$9,$A16)+$B16)))/(1-INDEX(AHP!$I$4:$I$9,$A16)))</f>
        <v>0.0773326327637826</v>
      </c>
      <c r="F16" s="12">
        <f>IF(4=$A16,MAX(0,MIN(1,INDEX(AHP!$I$4:$I$9,$A16)+$B16)),INDEX(AHP!$I$4:$I$9,4)*(1-MAX(0,MIN(1,INDEX(AHP!$I$4:$I$9,$A16)+$B16)))/(1-INDEX(AHP!$I$4:$I$9,$A16)))</f>
        <v>0.0773326327637826</v>
      </c>
      <c r="G16" s="12">
        <f>IF(5=$A16,MAX(0,MIN(1,INDEX(AHP!$I$4:$I$9,$A16)+$B16)),INDEX(AHP!$I$4:$I$9,5)*(1-MAX(0,MIN(1,INDEX(AHP!$I$4:$I$9,$A16)+$B16)))/(1-INDEX(AHP!$I$4:$I$9,$A16)))</f>
        <v>0.0773326327637826</v>
      </c>
      <c r="H16" s="12">
        <f>IF(6=$A16,MAX(0,MIN(1,INDEX(AHP!$I$4:$I$9,$A16)+$B16)),INDEX(AHP!$I$4:$I$9,6)*(1-MAX(0,MIN(1,INDEX(AHP!$I$4:$I$9,$A16)+$B16)))/(1-INDEX(AHP!$I$4:$I$9,$A16)))</f>
        <v>0.0873012892576288</v>
      </c>
      <c r="I16" s="20">
        <f>C16*Matriz!C$5+D16*Matriz!C$6+E16*Matriz!C$7+F16*Matriz!C$8+G16*Matriz!C$9+H16*Matriz!C$10</f>
        <v>3.00773886472167</v>
      </c>
      <c r="J16" s="20">
        <f>C16*Matriz!D$5+D16*Matriz!D$6+E16*Matriz!D$7+F16*Matriz!D$8+G16*Matriz!D$9+H16*Matriz!D$10</f>
        <v>3.46261382859716</v>
      </c>
      <c r="K16" s="20">
        <f>C16*Matriz!E$5+D16*Matriz!E$6+E16*Matriz!E$7+F16*Matriz!E$8+G16*Matriz!E$9+H16*Matriz!E$10</f>
        <v>3.92266736723622</v>
      </c>
      <c r="L16" s="14" t="str">
        <f>IF(AND(IF(Matriz!$C$15="Passa",I16,-1)&gt;=IF(Matriz!$D$15="Passa",J16,-1),IF(Matriz!$C$15="Passa",I16,-1)&gt;=IF(Matriz!$E$15="Passa",K16,-1)),$I$5,IF(IF(Matriz!$D$15="Passa",J16,-1)&gt;=IF(Matriz!$E$15="Passa",K16,-1),$J$5,$K$5))</f>
        <v>Híbrido</v>
      </c>
    </row>
    <row r="17" spans="1:12" x14ac:dyDescent="0.25">
      <c r="A17" s="9">
        <v>6</v>
      </c>
      <c r="B17" s="19">
        <v>0.1</v>
      </c>
      <c r="C17" s="12">
        <f>IF(1=$A17,MAX(0,MIN(1,INDEX(AHP!$I$4:$I$9,$A17)+$B17)),INDEX(AHP!$I$4:$I$9,1)*(1-MAX(0,MIN(1,INDEX(AHP!$I$4:$I$9,$A17)+$B17)))/(1-INDEX(AHP!$I$4:$I$9,$A17)))</f>
        <v>0.367284136787995</v>
      </c>
      <c r="D17" s="12">
        <f>IF(2=$A17,MAX(0,MIN(1,INDEX(AHP!$I$4:$I$9,$A17)+$B17)),INDEX(AHP!$I$4:$I$9,2)*(1-MAX(0,MIN(1,INDEX(AHP!$I$4:$I$9,$A17)+$B17)))/(1-INDEX(AHP!$I$4:$I$9,$A17)))</f>
        <v>0.164254459383057</v>
      </c>
      <c r="E17" s="12">
        <f>IF(3=$A17,MAX(0,MIN(1,INDEX(AHP!$I$4:$I$9,$A17)+$B17)),INDEX(AHP!$I$4:$I$9,3)*(1-MAX(0,MIN(1,INDEX(AHP!$I$4:$I$9,$A17)+$B17)))/(1-INDEX(AHP!$I$4:$I$9,$A17)))</f>
        <v>0.0603867048571064</v>
      </c>
      <c r="F17" s="12">
        <f>IF(4=$A17,MAX(0,MIN(1,INDEX(AHP!$I$4:$I$9,$A17)+$B17)),INDEX(AHP!$I$4:$I$9,4)*(1-MAX(0,MIN(1,INDEX(AHP!$I$4:$I$9,$A17)+$B17)))/(1-INDEX(AHP!$I$4:$I$9,$A17)))</f>
        <v>0.0603867048571064</v>
      </c>
      <c r="G17" s="12">
        <f>IF(5=$A17,MAX(0,MIN(1,INDEX(AHP!$I$4:$I$9,$A17)+$B17)),INDEX(AHP!$I$4:$I$9,5)*(1-MAX(0,MIN(1,INDEX(AHP!$I$4:$I$9,$A17)+$B17)))/(1-INDEX(AHP!$I$4:$I$9,$A17)))</f>
        <v>0.0603867048571064</v>
      </c>
      <c r="H17" s="12">
        <f>IF(6=$A17,MAX(0,MIN(1,INDEX(AHP!$I$4:$I$9,$A17)+$B17)),INDEX(AHP!$I$4:$I$9,6)*(1-MAX(0,MIN(1,INDEX(AHP!$I$4:$I$9,$A17)+$B17)))/(1-INDEX(AHP!$I$4:$I$9,$A17)))</f>
        <v>0.287301289257629</v>
      </c>
      <c r="I17" s="20">
        <f>C17*Matriz!C$5+D17*Matriz!C$6+E17*Matriz!C$7+F17*Matriz!C$8+G17*Matriz!C$9+H17*Matriz!C$10</f>
        <v>2.56778231803418</v>
      </c>
      <c r="J17" s="20">
        <f>C17*Matriz!D$5+D17*Matriz!D$6+E17*Matriz!D$7+F17*Matriz!D$8+G17*Matriz!D$9+H17*Matriz!D$10</f>
        <v>3.79950181875381</v>
      </c>
      <c r="K17" s="20">
        <f>C17*Matriz!E$5+D17*Matriz!E$6+E17*Matriz!E$7+F17*Matriz!E$8+G17*Matriz!E$9+H17*Matriz!E$10</f>
        <v>3.93961329514289</v>
      </c>
      <c r="L17" s="14" t="str">
        <f>IF(AND(IF(Matriz!$C$15="Passa",I17,-1)&gt;=IF(Matriz!$D$15="Passa",J17,-1),IF(Matriz!$C$15="Passa",I17,-1)&gt;=IF(Matriz!$E$15="Passa",K17,-1)),$I$5,IF(IF(Matriz!$D$15="Passa",J17,-1)&gt;=IF(Matriz!$E$15="Passa",K17,-1),$J$5,$K$5))</f>
        <v>Híbrido</v>
      </c>
    </row>
    <row r="20" spans="1:1" x14ac:dyDescent="0.25">
      <c r="A20" s="3" t="s">
        <v>177</v>
      </c>
    </row>
    <row r="21" spans="1:12" x14ac:dyDescent="0.25">
      <c r="A21" s="4" t="s">
        <v>178</v>
      </c>
      <c r="B21" s="4" t="s">
        <v>179</v>
      </c>
      <c r="C21" s="4" t="s">
        <v>52</v>
      </c>
      <c r="D21" s="4" t="s">
        <v>53</v>
      </c>
      <c r="E21" s="4" t="s">
        <v>54</v>
      </c>
      <c r="F21" s="4" t="s">
        <v>55</v>
      </c>
      <c r="G21" s="4" t="s">
        <v>56</v>
      </c>
      <c r="H21" s="4" t="s">
        <v>57</v>
      </c>
      <c r="I21" s="4" t="s">
        <v>161</v>
      </c>
      <c r="J21" s="4" t="s">
        <v>162</v>
      </c>
      <c r="K21" s="4" t="s">
        <v>163</v>
      </c>
      <c r="L21" s="4" t="s">
        <v>176</v>
      </c>
    </row>
    <row r="22" spans="1:12" x14ac:dyDescent="0.25">
      <c r="A22" s="19">
        <v>0</v>
      </c>
      <c r="C22" s="12">
        <f>IF(1=2,$A22,INDEX(AHP!$I$4:$I$9,1)*(1-$A22)/(1-INDEX(AHP!$I$4:$I$9,2)))</f>
        <v>0.515342782654144</v>
      </c>
      <c r="D22" s="12">
        <f>IF(2=2,$A22,INDEX(AHP!$I$4:$I$9,2)*(1-$A22)/(1-INDEX(AHP!$I$4:$I$9,2)))</f>
        <v>0</v>
      </c>
      <c r="E22" s="12">
        <f>IF(3=2,$A22,INDEX(AHP!$I$4:$I$9,3)*(1-$A22)/(1-INDEX(AHP!$I$4:$I$9,2)))</f>
        <v>0.0847296395333809</v>
      </c>
      <c r="F22" s="12">
        <f>IF(4=2,$A22,INDEX(AHP!$I$4:$I$9,4)*(1-$A22)/(1-INDEX(AHP!$I$4:$I$9,2)))</f>
        <v>0.0847296395333809</v>
      </c>
      <c r="G22" s="12">
        <f>IF(5=2,$A22,INDEX(AHP!$I$4:$I$9,5)*(1-$A22)/(1-INDEX(AHP!$I$4:$I$9,2)))</f>
        <v>0.0847296395333809</v>
      </c>
      <c r="H22" s="12">
        <f>IF(6=2,$A22,INDEX(AHP!$I$4:$I$9,6)*(1-$A22)/(1-INDEX(AHP!$I$4:$I$9,2)))</f>
        <v>0.230468298745713</v>
      </c>
      <c r="I22" s="20">
        <f>C22*Matriz!C$5+D22*Matriz!C$6+E22*Matriz!C$7+F22*Matriz!C$8+G22*Matriz!C$9+H22*Matriz!C$10</f>
        <v>2.27790953845457</v>
      </c>
      <c r="J22" s="20">
        <f>C22*Matriz!D$5+D22*Matriz!D$6+E22*Matriz!D$7+F22*Matriz!D$8+G22*Matriz!D$9+H22*Matriz!D$10</f>
        <v>4.23743324419957</v>
      </c>
      <c r="K22" s="20">
        <f>C22*Matriz!E$5+D22*Matriz!E$6+E22*Matriz!E$7+F22*Matriz!E$8+G22*Matriz!E$9+H22*Matriz!E$10</f>
        <v>3.91527036046662</v>
      </c>
      <c r="L22" s="14" t="str">
        <f>IF(AND(IF(Matriz!$C$15="Passa",I22,-1)&gt;=IF(Matriz!$D$15="Passa",J22,-1),IF(Matriz!$C$15="Passa",I22,-1)&gt;=IF(Matriz!$E$15="Passa",K22,-1)),$I$5,IF(IF(Matriz!$D$15="Passa",J22,-1)&gt;=IF(Matriz!$E$15="Passa",K22,-1),$J$5,$K$5))</f>
        <v>Descentralizado</v>
      </c>
    </row>
    <row r="23" spans="1:12" x14ac:dyDescent="0.25">
      <c r="A23" s="19">
        <v>0.05</v>
      </c>
      <c r="C23" s="12">
        <f>IF(1=2,$A23,INDEX(AHP!$I$4:$I$9,1)*(1-$A23)/(1-INDEX(AHP!$I$4:$I$9,2)))</f>
        <v>0.489575643521437</v>
      </c>
      <c r="D23" s="12">
        <f>IF(2=2,$A23,INDEX(AHP!$I$4:$I$9,2)*(1-$A23)/(1-INDEX(AHP!$I$4:$I$9,2)))</f>
        <v>0.05</v>
      </c>
      <c r="E23" s="12">
        <f>IF(3=2,$A23,INDEX(AHP!$I$4:$I$9,3)*(1-$A23)/(1-INDEX(AHP!$I$4:$I$9,2)))</f>
        <v>0.0804931575567119</v>
      </c>
      <c r="F23" s="12">
        <f>IF(4=2,$A23,INDEX(AHP!$I$4:$I$9,4)*(1-$A23)/(1-INDEX(AHP!$I$4:$I$9,2)))</f>
        <v>0.0804931575567119</v>
      </c>
      <c r="G23" s="12">
        <f>IF(5=2,$A23,INDEX(AHP!$I$4:$I$9,5)*(1-$A23)/(1-INDEX(AHP!$I$4:$I$9,2)))</f>
        <v>0.0804931575567119</v>
      </c>
      <c r="H23" s="12">
        <f>IF(6=2,$A23,INDEX(AHP!$I$4:$I$9,6)*(1-$A23)/(1-INDEX(AHP!$I$4:$I$9,2)))</f>
        <v>0.218944883808428</v>
      </c>
      <c r="I23" s="20">
        <f>C23*Matriz!C$5+D23*Matriz!C$6+E23*Matriz!C$7+F23*Matriz!C$8+G23*Matriz!C$9+H23*Matriz!C$10</f>
        <v>2.41401406153184</v>
      </c>
      <c r="J23" s="20">
        <f>C23*Matriz!D$5+D23*Matriz!D$6+E23*Matriz!D$7+F23*Matriz!D$8+G23*Matriz!D$9+H23*Matriz!D$10</f>
        <v>4.07556158198959</v>
      </c>
      <c r="K23" s="20">
        <f>C23*Matriz!E$5+D23*Matriz!E$6+E23*Matriz!E$7+F23*Matriz!E$8+G23*Matriz!E$9+H23*Matriz!E$10</f>
        <v>3.91950684244329</v>
      </c>
      <c r="L23" s="14" t="str">
        <f>IF(AND(IF(Matriz!$C$15="Passa",I23,-1)&gt;=IF(Matriz!$D$15="Passa",J23,-1),IF(Matriz!$C$15="Passa",I23,-1)&gt;=IF(Matriz!$E$15="Passa",K23,-1)),$I$5,IF(IF(Matriz!$D$15="Passa",J23,-1)&gt;=IF(Matriz!$E$15="Passa",K23,-1),$J$5,$K$5))</f>
        <v>Descentralizado</v>
      </c>
    </row>
    <row r="24" spans="1:12" x14ac:dyDescent="0.25">
      <c r="A24" s="19">
        <v>0.1</v>
      </c>
      <c r="C24" s="12">
        <f>IF(1=2,$A24,INDEX(AHP!$I$4:$I$9,1)*(1-$A24)/(1-INDEX(AHP!$I$4:$I$9,2)))</f>
        <v>0.46380850438873</v>
      </c>
      <c r="D24" s="12">
        <f>IF(2=2,$A24,INDEX(AHP!$I$4:$I$9,2)*(1-$A24)/(1-INDEX(AHP!$I$4:$I$9,2)))</f>
        <v>0.1</v>
      </c>
      <c r="E24" s="12">
        <f>IF(3=2,$A24,INDEX(AHP!$I$4:$I$9,3)*(1-$A24)/(1-INDEX(AHP!$I$4:$I$9,2)))</f>
        <v>0.0762566755800428</v>
      </c>
      <c r="F24" s="12">
        <f>IF(4=2,$A24,INDEX(AHP!$I$4:$I$9,4)*(1-$A24)/(1-INDEX(AHP!$I$4:$I$9,2)))</f>
        <v>0.0762566755800428</v>
      </c>
      <c r="G24" s="12">
        <f>IF(5=2,$A24,INDEX(AHP!$I$4:$I$9,5)*(1-$A24)/(1-INDEX(AHP!$I$4:$I$9,2)))</f>
        <v>0.0762566755800428</v>
      </c>
      <c r="H24" s="12">
        <f>IF(6=2,$A24,INDEX(AHP!$I$4:$I$9,6)*(1-$A24)/(1-INDEX(AHP!$I$4:$I$9,2)))</f>
        <v>0.207421468871142</v>
      </c>
      <c r="I24" s="20">
        <f>C24*Matriz!C$5+D24*Matriz!C$6+E24*Matriz!C$7+F24*Matriz!C$8+G24*Matriz!C$9+H24*Matriz!C$10</f>
        <v>2.55011858460912</v>
      </c>
      <c r="J24" s="20">
        <f>C24*Matriz!D$5+D24*Matriz!D$6+E24*Matriz!D$7+F24*Matriz!D$8+G24*Matriz!D$9+H24*Matriz!D$10</f>
        <v>3.91368991977962</v>
      </c>
      <c r="K24" s="20">
        <f>C24*Matriz!E$5+D24*Matriz!E$6+E24*Matriz!E$7+F24*Matriz!E$8+G24*Matriz!E$9+H24*Matriz!E$10</f>
        <v>3.92374332441996</v>
      </c>
      <c r="L24" s="14" t="str">
        <f>IF(AND(IF(Matriz!$C$15="Passa",I24,-1)&gt;=IF(Matriz!$D$15="Passa",J24,-1),IF(Matriz!$C$15="Passa",I24,-1)&gt;=IF(Matriz!$E$15="Passa",K24,-1)),$I$5,IF(IF(Matriz!$D$15="Passa",J24,-1)&gt;=IF(Matriz!$E$15="Passa",K24,-1),$J$5,$K$5))</f>
        <v>Híbrido</v>
      </c>
    </row>
    <row r="25" spans="1:12" x14ac:dyDescent="0.25">
      <c r="A25" s="19">
        <v>0.15</v>
      </c>
      <c r="C25" s="12">
        <f>IF(1=2,$A25,INDEX(AHP!$I$4:$I$9,1)*(1-$A25)/(1-INDEX(AHP!$I$4:$I$9,2)))</f>
        <v>0.438041365256023</v>
      </c>
      <c r="D25" s="12">
        <f>IF(2=2,$A25,INDEX(AHP!$I$4:$I$9,2)*(1-$A25)/(1-INDEX(AHP!$I$4:$I$9,2)))</f>
        <v>0.15</v>
      </c>
      <c r="E25" s="12">
        <f>IF(3=2,$A25,INDEX(AHP!$I$4:$I$9,3)*(1-$A25)/(1-INDEX(AHP!$I$4:$I$9,2)))</f>
        <v>0.0720201936033738</v>
      </c>
      <c r="F25" s="12">
        <f>IF(4=2,$A25,INDEX(AHP!$I$4:$I$9,4)*(1-$A25)/(1-INDEX(AHP!$I$4:$I$9,2)))</f>
        <v>0.0720201936033738</v>
      </c>
      <c r="G25" s="12">
        <f>IF(5=2,$A25,INDEX(AHP!$I$4:$I$9,5)*(1-$A25)/(1-INDEX(AHP!$I$4:$I$9,2)))</f>
        <v>0.0720201936033738</v>
      </c>
      <c r="H25" s="12">
        <f>IF(6=2,$A25,INDEX(AHP!$I$4:$I$9,6)*(1-$A25)/(1-INDEX(AHP!$I$4:$I$9,2)))</f>
        <v>0.195898053933856</v>
      </c>
      <c r="I25" s="20">
        <f>C25*Matriz!C$5+D25*Matriz!C$6+E25*Matriz!C$7+F25*Matriz!C$8+G25*Matriz!C$9+H25*Matriz!C$10</f>
        <v>2.68622310768639</v>
      </c>
      <c r="J25" s="20">
        <f>C25*Matriz!D$5+D25*Matriz!D$6+E25*Matriz!D$7+F25*Matriz!D$8+G25*Matriz!D$9+H25*Matriz!D$10</f>
        <v>3.75181825756964</v>
      </c>
      <c r="K25" s="20">
        <f>C25*Matriz!E$5+D25*Matriz!E$6+E25*Matriz!E$7+F25*Matriz!E$8+G25*Matriz!E$9+H25*Matriz!E$10</f>
        <v>3.92797980639663</v>
      </c>
      <c r="L25" s="14" t="str">
        <f>IF(AND(IF(Matriz!$C$15="Passa",I25,-1)&gt;=IF(Matriz!$D$15="Passa",J25,-1),IF(Matriz!$C$15="Passa",I25,-1)&gt;=IF(Matriz!$E$15="Passa",K25,-1)),$I$5,IF(IF(Matriz!$D$15="Passa",J25,-1)&gt;=IF(Matriz!$E$15="Passa",K25,-1),$J$5,$K$5))</f>
        <v>Híbrido</v>
      </c>
    </row>
    <row r="26" spans="1:12" x14ac:dyDescent="0.25">
      <c r="A26" s="19">
        <v>0.2</v>
      </c>
      <c r="C26" s="12">
        <f>IF(1=2,$A26,INDEX(AHP!$I$4:$I$9,1)*(1-$A26)/(1-INDEX(AHP!$I$4:$I$9,2)))</f>
        <v>0.412274226123315</v>
      </c>
      <c r="D26" s="12">
        <f>IF(2=2,$A26,INDEX(AHP!$I$4:$I$9,2)*(1-$A26)/(1-INDEX(AHP!$I$4:$I$9,2)))</f>
        <v>0.2</v>
      </c>
      <c r="E26" s="12">
        <f>IF(3=2,$A26,INDEX(AHP!$I$4:$I$9,3)*(1-$A26)/(1-INDEX(AHP!$I$4:$I$9,2)))</f>
        <v>0.0677837116267047</v>
      </c>
      <c r="F26" s="12">
        <f>IF(4=2,$A26,INDEX(AHP!$I$4:$I$9,4)*(1-$A26)/(1-INDEX(AHP!$I$4:$I$9,2)))</f>
        <v>0.0677837116267047</v>
      </c>
      <c r="G26" s="12">
        <f>IF(5=2,$A26,INDEX(AHP!$I$4:$I$9,5)*(1-$A26)/(1-INDEX(AHP!$I$4:$I$9,2)))</f>
        <v>0.0677837116267047</v>
      </c>
      <c r="H26" s="12">
        <f>IF(6=2,$A26,INDEX(AHP!$I$4:$I$9,6)*(1-$A26)/(1-INDEX(AHP!$I$4:$I$9,2)))</f>
        <v>0.184374638996571</v>
      </c>
      <c r="I26" s="20">
        <f>C26*Matriz!C$5+D26*Matriz!C$6+E26*Matriz!C$7+F26*Matriz!C$8+G26*Matriz!C$9+H26*Matriz!C$10</f>
        <v>2.82232763076366</v>
      </c>
      <c r="J26" s="20">
        <f>C26*Matriz!D$5+D26*Matriz!D$6+E26*Matriz!D$7+F26*Matriz!D$8+G26*Matriz!D$9+H26*Matriz!D$10</f>
        <v>3.58994659535966</v>
      </c>
      <c r="K26" s="20">
        <f>C26*Matriz!E$5+D26*Matriz!E$6+E26*Matriz!E$7+F26*Matriz!E$8+G26*Matriz!E$9+H26*Matriz!E$10</f>
        <v>3.9322162883733</v>
      </c>
      <c r="L26" s="14" t="str">
        <f>IF(AND(IF(Matriz!$C$15="Passa",I26,-1)&gt;=IF(Matriz!$D$15="Passa",J26,-1),IF(Matriz!$C$15="Passa",I26,-1)&gt;=IF(Matriz!$E$15="Passa",K26,-1)),$I$5,IF(IF(Matriz!$D$15="Passa",J26,-1)&gt;=IF(Matriz!$E$15="Passa",K26,-1),$J$5,$K$5))</f>
        <v>Híbrido</v>
      </c>
    </row>
    <row r="27" spans="1:12" x14ac:dyDescent="0.25">
      <c r="A27" s="19">
        <v>0.25</v>
      </c>
      <c r="C27" s="12">
        <f>IF(1=2,$A27,INDEX(AHP!$I$4:$I$9,1)*(1-$A27)/(1-INDEX(AHP!$I$4:$I$9,2)))</f>
        <v>0.386507086990608</v>
      </c>
      <c r="D27" s="12">
        <f>IF(2=2,$A27,INDEX(AHP!$I$4:$I$9,2)*(1-$A27)/(1-INDEX(AHP!$I$4:$I$9,2)))</f>
        <v>0.25</v>
      </c>
      <c r="E27" s="12">
        <f>IF(3=2,$A27,INDEX(AHP!$I$4:$I$9,3)*(1-$A27)/(1-INDEX(AHP!$I$4:$I$9,2)))</f>
        <v>0.0635472296500357</v>
      </c>
      <c r="F27" s="12">
        <f>IF(4=2,$A27,INDEX(AHP!$I$4:$I$9,4)*(1-$A27)/(1-INDEX(AHP!$I$4:$I$9,2)))</f>
        <v>0.0635472296500357</v>
      </c>
      <c r="G27" s="12">
        <f>IF(5=2,$A27,INDEX(AHP!$I$4:$I$9,5)*(1-$A27)/(1-INDEX(AHP!$I$4:$I$9,2)))</f>
        <v>0.0635472296500357</v>
      </c>
      <c r="H27" s="12">
        <f>IF(6=2,$A27,INDEX(AHP!$I$4:$I$9,6)*(1-$A27)/(1-INDEX(AHP!$I$4:$I$9,2)))</f>
        <v>0.172851224059285</v>
      </c>
      <c r="I27" s="20">
        <f>C27*Matriz!C$5+D27*Matriz!C$6+E27*Matriz!C$7+F27*Matriz!C$8+G27*Matriz!C$9+H27*Matriz!C$10</f>
        <v>2.95843215384093</v>
      </c>
      <c r="J27" s="20">
        <f>C27*Matriz!D$5+D27*Matriz!D$6+E27*Matriz!D$7+F27*Matriz!D$8+G27*Matriz!D$9+H27*Matriz!D$10</f>
        <v>3.42807493314968</v>
      </c>
      <c r="K27" s="20">
        <f>C27*Matriz!E$5+D27*Matriz!E$6+E27*Matriz!E$7+F27*Matriz!E$8+G27*Matriz!E$9+H27*Matriz!E$10</f>
        <v>3.93645277034997</v>
      </c>
      <c r="L27" s="14" t="str">
        <f>IF(AND(IF(Matriz!$C$15="Passa",I27,-1)&gt;=IF(Matriz!$D$15="Passa",J27,-1),IF(Matriz!$C$15="Passa",I27,-1)&gt;=IF(Matriz!$E$15="Passa",K27,-1)),$I$5,IF(IF(Matriz!$D$15="Passa",J27,-1)&gt;=IF(Matriz!$E$15="Passa",K27,-1),$J$5,$K$5))</f>
        <v>Híbrido</v>
      </c>
    </row>
    <row r="28" spans="1:12" x14ac:dyDescent="0.25">
      <c r="A28" s="19">
        <v>0.3</v>
      </c>
      <c r="C28" s="12">
        <f>IF(1=2,$A28,INDEX(AHP!$I$4:$I$9,1)*(1-$A28)/(1-INDEX(AHP!$I$4:$I$9,2)))</f>
        <v>0.360739947857901</v>
      </c>
      <c r="D28" s="12">
        <f>IF(2=2,$A28,INDEX(AHP!$I$4:$I$9,2)*(1-$A28)/(1-INDEX(AHP!$I$4:$I$9,2)))</f>
        <v>0.3</v>
      </c>
      <c r="E28" s="12">
        <f>IF(3=2,$A28,INDEX(AHP!$I$4:$I$9,3)*(1-$A28)/(1-INDEX(AHP!$I$4:$I$9,2)))</f>
        <v>0.0593107476733666</v>
      </c>
      <c r="F28" s="12">
        <f>IF(4=2,$A28,INDEX(AHP!$I$4:$I$9,4)*(1-$A28)/(1-INDEX(AHP!$I$4:$I$9,2)))</f>
        <v>0.0593107476733666</v>
      </c>
      <c r="G28" s="12">
        <f>IF(5=2,$A28,INDEX(AHP!$I$4:$I$9,5)*(1-$A28)/(1-INDEX(AHP!$I$4:$I$9,2)))</f>
        <v>0.0593107476733666</v>
      </c>
      <c r="H28" s="12">
        <f>IF(6=2,$A28,INDEX(AHP!$I$4:$I$9,6)*(1-$A28)/(1-INDEX(AHP!$I$4:$I$9,2)))</f>
        <v>0.161327809121999</v>
      </c>
      <c r="I28" s="20">
        <f>C28*Matriz!C$5+D28*Matriz!C$6+E28*Matriz!C$7+F28*Matriz!C$8+G28*Matriz!C$9+H28*Matriz!C$10</f>
        <v>3.0945366769182</v>
      </c>
      <c r="J28" s="20">
        <f>C28*Matriz!D$5+D28*Matriz!D$6+E28*Matriz!D$7+F28*Matriz!D$8+G28*Matriz!D$9+H28*Matriz!D$10</f>
        <v>3.2662032709397</v>
      </c>
      <c r="K28" s="20">
        <f>C28*Matriz!E$5+D28*Matriz!E$6+E28*Matriz!E$7+F28*Matriz!E$8+G28*Matriz!E$9+H28*Matriz!E$10</f>
        <v>3.94068925232663</v>
      </c>
      <c r="L28" s="14" t="str">
        <f>IF(AND(IF(Matriz!$C$15="Passa",I28,-1)&gt;=IF(Matriz!$D$15="Passa",J28,-1),IF(Matriz!$C$15="Passa",I28,-1)&gt;=IF(Matriz!$E$15="Passa",K28,-1)),$I$5,IF(IF(Matriz!$D$15="Passa",J28,-1)&gt;=IF(Matriz!$E$15="Passa",K28,-1),$J$5,$K$5))</f>
        <v>Híbrido</v>
      </c>
    </row>
    <row r="29" spans="1:12" x14ac:dyDescent="0.25">
      <c r="A29" s="19">
        <v>0.35</v>
      </c>
      <c r="C29" s="12">
        <f>IF(1=2,$A29,INDEX(AHP!$I$4:$I$9,1)*(1-$A29)/(1-INDEX(AHP!$I$4:$I$9,2)))</f>
        <v>0.334972808725194</v>
      </c>
      <c r="D29" s="12">
        <f>IF(2=2,$A29,INDEX(AHP!$I$4:$I$9,2)*(1-$A29)/(1-INDEX(AHP!$I$4:$I$9,2)))</f>
        <v>0.35</v>
      </c>
      <c r="E29" s="12">
        <f>IF(3=2,$A29,INDEX(AHP!$I$4:$I$9,3)*(1-$A29)/(1-INDEX(AHP!$I$4:$I$9,2)))</f>
        <v>0.0550742656966976</v>
      </c>
      <c r="F29" s="12">
        <f>IF(4=2,$A29,INDEX(AHP!$I$4:$I$9,4)*(1-$A29)/(1-INDEX(AHP!$I$4:$I$9,2)))</f>
        <v>0.0550742656966976</v>
      </c>
      <c r="G29" s="12">
        <f>IF(5=2,$A29,INDEX(AHP!$I$4:$I$9,5)*(1-$A29)/(1-INDEX(AHP!$I$4:$I$9,2)))</f>
        <v>0.0550742656966976</v>
      </c>
      <c r="H29" s="12">
        <f>IF(6=2,$A29,INDEX(AHP!$I$4:$I$9,6)*(1-$A29)/(1-INDEX(AHP!$I$4:$I$9,2)))</f>
        <v>0.149804394184714</v>
      </c>
      <c r="I29" s="20">
        <f>C29*Matriz!C$5+D29*Matriz!C$6+E29*Matriz!C$7+F29*Matriz!C$8+G29*Matriz!C$9+H29*Matriz!C$10</f>
        <v>3.23064119999547</v>
      </c>
      <c r="J29" s="20">
        <f>C29*Matriz!D$5+D29*Matriz!D$6+E29*Matriz!D$7+F29*Matriz!D$8+G29*Matriz!D$9+H29*Matriz!D$10</f>
        <v>3.10433160872972</v>
      </c>
      <c r="K29" s="20">
        <f>C29*Matriz!E$5+D29*Matriz!E$6+E29*Matriz!E$7+F29*Matriz!E$8+G29*Matriz!E$9+H29*Matriz!E$10</f>
        <v>3.9449257343033</v>
      </c>
      <c r="L29" s="14" t="str">
        <f>IF(AND(IF(Matriz!$C$15="Passa",I29,-1)&gt;=IF(Matriz!$D$15="Passa",J29,-1),IF(Matriz!$C$15="Passa",I29,-1)&gt;=IF(Matriz!$E$15="Passa",K29,-1)),$I$5,IF(IF(Matriz!$D$15="Passa",J29,-1)&gt;=IF(Matriz!$E$15="Passa",K29,-1),$J$5,$K$5))</f>
        <v>Híbrido</v>
      </c>
    </row>
    <row r="30" spans="1:12" x14ac:dyDescent="0.25">
      <c r="A30" s="19">
        <v>0.4</v>
      </c>
      <c r="C30" s="12">
        <f>IF(1=2,$A30,INDEX(AHP!$I$4:$I$9,1)*(1-$A30)/(1-INDEX(AHP!$I$4:$I$9,2)))</f>
        <v>0.309205669592487</v>
      </c>
      <c r="D30" s="12">
        <f>IF(2=2,$A30,INDEX(AHP!$I$4:$I$9,2)*(1-$A30)/(1-INDEX(AHP!$I$4:$I$9,2)))</f>
        <v>0.4</v>
      </c>
      <c r="E30" s="12">
        <f>IF(3=2,$A30,INDEX(AHP!$I$4:$I$9,3)*(1-$A30)/(1-INDEX(AHP!$I$4:$I$9,2)))</f>
        <v>0.0508377837200286</v>
      </c>
      <c r="F30" s="12">
        <f>IF(4=2,$A30,INDEX(AHP!$I$4:$I$9,4)*(1-$A30)/(1-INDEX(AHP!$I$4:$I$9,2)))</f>
        <v>0.0508377837200286</v>
      </c>
      <c r="G30" s="12">
        <f>IF(5=2,$A30,INDEX(AHP!$I$4:$I$9,5)*(1-$A30)/(1-INDEX(AHP!$I$4:$I$9,2)))</f>
        <v>0.0508377837200286</v>
      </c>
      <c r="H30" s="12">
        <f>IF(6=2,$A30,INDEX(AHP!$I$4:$I$9,6)*(1-$A30)/(1-INDEX(AHP!$I$4:$I$9,2)))</f>
        <v>0.138280979247428</v>
      </c>
      <c r="I30" s="20">
        <f>C30*Matriz!C$5+D30*Matriz!C$6+E30*Matriz!C$7+F30*Matriz!C$8+G30*Matriz!C$9+H30*Matriz!C$10</f>
        <v>3.36674572307274</v>
      </c>
      <c r="J30" s="20">
        <f>C30*Matriz!D$5+D30*Matriz!D$6+E30*Matriz!D$7+F30*Matriz!D$8+G30*Matriz!D$9+H30*Matriz!D$10</f>
        <v>2.94245994651974</v>
      </c>
      <c r="K30" s="20">
        <f>C30*Matriz!E$5+D30*Matriz!E$6+E30*Matriz!E$7+F30*Matriz!E$8+G30*Matriz!E$9+H30*Matriz!E$10</f>
        <v>3.94916221627997</v>
      </c>
      <c r="L30" s="14" t="str">
        <f>IF(AND(IF(Matriz!$C$15="Passa",I30,-1)&gt;=IF(Matriz!$D$15="Passa",J30,-1),IF(Matriz!$C$15="Passa",I30,-1)&gt;=IF(Matriz!$E$15="Passa",K30,-1)),$I$5,IF(IF(Matriz!$D$15="Passa",J30,-1)&gt;=IF(Matriz!$E$15="Passa",K30,-1),$J$5,$K$5))</f>
        <v>Híbrido</v>
      </c>
    </row>
    <row r="31" spans="1:12" x14ac:dyDescent="0.25">
      <c r="A31" s="19">
        <v>0.45</v>
      </c>
      <c r="C31" s="12">
        <f>IF(1=2,$A31,INDEX(AHP!$I$4:$I$9,1)*(1-$A31)/(1-INDEX(AHP!$I$4:$I$9,2)))</f>
        <v>0.283438530459779</v>
      </c>
      <c r="D31" s="12">
        <f>IF(2=2,$A31,INDEX(AHP!$I$4:$I$9,2)*(1-$A31)/(1-INDEX(AHP!$I$4:$I$9,2)))</f>
        <v>0.45</v>
      </c>
      <c r="E31" s="12">
        <f>IF(3=2,$A31,INDEX(AHP!$I$4:$I$9,3)*(1-$A31)/(1-INDEX(AHP!$I$4:$I$9,2)))</f>
        <v>0.0466013017433595</v>
      </c>
      <c r="F31" s="12">
        <f>IF(4=2,$A31,INDEX(AHP!$I$4:$I$9,4)*(1-$A31)/(1-INDEX(AHP!$I$4:$I$9,2)))</f>
        <v>0.0466013017433595</v>
      </c>
      <c r="G31" s="12">
        <f>IF(5=2,$A31,INDEX(AHP!$I$4:$I$9,5)*(1-$A31)/(1-INDEX(AHP!$I$4:$I$9,2)))</f>
        <v>0.0466013017433595</v>
      </c>
      <c r="H31" s="12">
        <f>IF(6=2,$A31,INDEX(AHP!$I$4:$I$9,6)*(1-$A31)/(1-INDEX(AHP!$I$4:$I$9,2)))</f>
        <v>0.126757564310142</v>
      </c>
      <c r="I31" s="20">
        <f>C31*Matriz!C$5+D31*Matriz!C$6+E31*Matriz!C$7+F31*Matriz!C$8+G31*Matriz!C$9+H31*Matriz!C$10</f>
        <v>3.50285024615002</v>
      </c>
      <c r="J31" s="20">
        <f>C31*Matriz!D$5+D31*Matriz!D$6+E31*Matriz!D$7+F31*Matriz!D$8+G31*Matriz!D$9+H31*Matriz!D$10</f>
        <v>2.78058828430977</v>
      </c>
      <c r="K31" s="20">
        <f>C31*Matriz!E$5+D31*Matriz!E$6+E31*Matriz!E$7+F31*Matriz!E$8+G31*Matriz!E$9+H31*Matriz!E$10</f>
        <v>3.95339869825664</v>
      </c>
      <c r="L31" s="14" t="str">
        <f>IF(AND(IF(Matriz!$C$15="Passa",I31,-1)&gt;=IF(Matriz!$D$15="Passa",J31,-1),IF(Matriz!$C$15="Passa",I31,-1)&gt;=IF(Matriz!$E$15="Passa",K31,-1)),$I$5,IF(IF(Matriz!$D$15="Passa",J31,-1)&gt;=IF(Matriz!$E$15="Passa",K31,-1),$J$5,$K$5))</f>
        <v>Híbrido</v>
      </c>
    </row>
    <row r="32" spans="1:12" x14ac:dyDescent="0.25">
      <c r="A32" s="19">
        <v>0.5</v>
      </c>
      <c r="C32" s="12">
        <f>IF(1=2,$A32,INDEX(AHP!$I$4:$I$9,1)*(1-$A32)/(1-INDEX(AHP!$I$4:$I$9,2)))</f>
        <v>0.257671391327072</v>
      </c>
      <c r="D32" s="12">
        <f>IF(2=2,$A32,INDEX(AHP!$I$4:$I$9,2)*(1-$A32)/(1-INDEX(AHP!$I$4:$I$9,2)))</f>
        <v>0.5</v>
      </c>
      <c r="E32" s="12">
        <f>IF(3=2,$A32,INDEX(AHP!$I$4:$I$9,3)*(1-$A32)/(1-INDEX(AHP!$I$4:$I$9,2)))</f>
        <v>0.0423648197666905</v>
      </c>
      <c r="F32" s="12">
        <f>IF(4=2,$A32,INDEX(AHP!$I$4:$I$9,4)*(1-$A32)/(1-INDEX(AHP!$I$4:$I$9,2)))</f>
        <v>0.0423648197666905</v>
      </c>
      <c r="G32" s="12">
        <f>IF(5=2,$A32,INDEX(AHP!$I$4:$I$9,5)*(1-$A32)/(1-INDEX(AHP!$I$4:$I$9,2)))</f>
        <v>0.0423648197666905</v>
      </c>
      <c r="H32" s="12">
        <f>IF(6=2,$A32,INDEX(AHP!$I$4:$I$9,6)*(1-$A32)/(1-INDEX(AHP!$I$4:$I$9,2)))</f>
        <v>0.115234149372857</v>
      </c>
      <c r="I32" s="20">
        <f>C32*Matriz!C$5+D32*Matriz!C$6+E32*Matriz!C$7+F32*Matriz!C$8+G32*Matriz!C$9+H32*Matriz!C$10</f>
        <v>3.63895476922729</v>
      </c>
      <c r="J32" s="20">
        <f>C32*Matriz!D$5+D32*Matriz!D$6+E32*Matriz!D$7+F32*Matriz!D$8+G32*Matriz!D$9+H32*Matriz!D$10</f>
        <v>2.61871662209979</v>
      </c>
      <c r="K32" s="20">
        <f>C32*Matriz!E$5+D32*Matriz!E$6+E32*Matriz!E$7+F32*Matriz!E$8+G32*Matriz!E$9+H32*Matriz!E$10</f>
        <v>3.95763518023331</v>
      </c>
      <c r="L32" s="14" t="str">
        <f>IF(AND(IF(Matriz!$C$15="Passa",I32,-1)&gt;=IF(Matriz!$D$15="Passa",J32,-1),IF(Matriz!$C$15="Passa",I32,-1)&gt;=IF(Matriz!$E$15="Passa",K32,-1)),$I$5,IF(IF(Matriz!$D$15="Passa",J32,-1)&gt;=IF(Matriz!$E$15="Passa",K32,-1),$J$5,$K$5))</f>
        <v>Híbrido</v>
      </c>
    </row>
    <row r="33" spans="1:12" x14ac:dyDescent="0.25">
      <c r="A33" s="19">
        <v>0.55</v>
      </c>
      <c r="C33" s="12">
        <f>IF(1=2,$A33,INDEX(AHP!$I$4:$I$9,1)*(1-$A33)/(1-INDEX(AHP!$I$4:$I$9,2)))</f>
        <v>0.231904252194365</v>
      </c>
      <c r="D33" s="12">
        <f>IF(2=2,$A33,INDEX(AHP!$I$4:$I$9,2)*(1-$A33)/(1-INDEX(AHP!$I$4:$I$9,2)))</f>
        <v>0.55</v>
      </c>
      <c r="E33" s="12">
        <f>IF(3=2,$A33,INDEX(AHP!$I$4:$I$9,3)*(1-$A33)/(1-INDEX(AHP!$I$4:$I$9,2)))</f>
        <v>0.0381283377900214</v>
      </c>
      <c r="F33" s="12">
        <f>IF(4=2,$A33,INDEX(AHP!$I$4:$I$9,4)*(1-$A33)/(1-INDEX(AHP!$I$4:$I$9,2)))</f>
        <v>0.0381283377900214</v>
      </c>
      <c r="G33" s="12">
        <f>IF(5=2,$A33,INDEX(AHP!$I$4:$I$9,5)*(1-$A33)/(1-INDEX(AHP!$I$4:$I$9,2)))</f>
        <v>0.0381283377900214</v>
      </c>
      <c r="H33" s="12">
        <f>IF(6=2,$A33,INDEX(AHP!$I$4:$I$9,6)*(1-$A33)/(1-INDEX(AHP!$I$4:$I$9,2)))</f>
        <v>0.103710734435571</v>
      </c>
      <c r="I33" s="20">
        <f>C33*Matriz!C$5+D33*Matriz!C$6+E33*Matriz!C$7+F33*Matriz!C$8+G33*Matriz!C$9+H33*Matriz!C$10</f>
        <v>3.77505929230456</v>
      </c>
      <c r="J33" s="20">
        <f>C33*Matriz!D$5+D33*Matriz!D$6+E33*Matriz!D$7+F33*Matriz!D$8+G33*Matriz!D$9+H33*Matriz!D$10</f>
        <v>2.45684495988981</v>
      </c>
      <c r="K33" s="20">
        <f>C33*Matriz!E$5+D33*Matriz!E$6+E33*Matriz!E$7+F33*Matriz!E$8+G33*Matriz!E$9+H33*Matriz!E$10</f>
        <v>3.96187166220998</v>
      </c>
      <c r="L33" s="14" t="str">
        <f>IF(AND(IF(Matriz!$C$15="Passa",I33,-1)&gt;=IF(Matriz!$D$15="Passa",J33,-1),IF(Matriz!$C$15="Passa",I33,-1)&gt;=IF(Matriz!$E$15="Passa",K33,-1)),$I$5,IF(IF(Matriz!$D$15="Passa",J33,-1)&gt;=IF(Matriz!$E$15="Passa",K33,-1),$J$5,$K$5))</f>
        <v>Híbrido</v>
      </c>
    </row>
    <row r="34" spans="1:12" x14ac:dyDescent="0.25">
      <c r="A34" s="19">
        <v>0.6</v>
      </c>
      <c r="C34" s="12">
        <f>IF(1=2,$A34,INDEX(AHP!$I$4:$I$9,1)*(1-$A34)/(1-INDEX(AHP!$I$4:$I$9,2)))</f>
        <v>0.206137113061658</v>
      </c>
      <c r="D34" s="12">
        <f>IF(2=2,$A34,INDEX(AHP!$I$4:$I$9,2)*(1-$A34)/(1-INDEX(AHP!$I$4:$I$9,2)))</f>
        <v>0.6</v>
      </c>
      <c r="E34" s="12">
        <f>IF(3=2,$A34,INDEX(AHP!$I$4:$I$9,3)*(1-$A34)/(1-INDEX(AHP!$I$4:$I$9,2)))</f>
        <v>0.0338918558133524</v>
      </c>
      <c r="F34" s="12">
        <f>IF(4=2,$A34,INDEX(AHP!$I$4:$I$9,4)*(1-$A34)/(1-INDEX(AHP!$I$4:$I$9,2)))</f>
        <v>0.0338918558133524</v>
      </c>
      <c r="G34" s="12">
        <f>IF(5=2,$A34,INDEX(AHP!$I$4:$I$9,5)*(1-$A34)/(1-INDEX(AHP!$I$4:$I$9,2)))</f>
        <v>0.0338918558133524</v>
      </c>
      <c r="H34" s="12">
        <f>IF(6=2,$A34,INDEX(AHP!$I$4:$I$9,6)*(1-$A34)/(1-INDEX(AHP!$I$4:$I$9,2)))</f>
        <v>0.0921873194982853</v>
      </c>
      <c r="I34" s="20">
        <f>C34*Matriz!C$5+D34*Matriz!C$6+E34*Matriz!C$7+F34*Matriz!C$8+G34*Matriz!C$9+H34*Matriz!C$10</f>
        <v>3.91116381538183</v>
      </c>
      <c r="J34" s="20">
        <f>C34*Matriz!D$5+D34*Matriz!D$6+E34*Matriz!D$7+F34*Matriz!D$8+G34*Matriz!D$9+H34*Matriz!D$10</f>
        <v>2.29497329767983</v>
      </c>
      <c r="K34" s="20">
        <f>C34*Matriz!E$5+D34*Matriz!E$6+E34*Matriz!E$7+F34*Matriz!E$8+G34*Matriz!E$9+H34*Matriz!E$10</f>
        <v>3.96610814418665</v>
      </c>
      <c r="L34" s="14" t="str">
        <f>IF(AND(IF(Matriz!$C$15="Passa",I34,-1)&gt;=IF(Matriz!$D$15="Passa",J34,-1),IF(Matriz!$C$15="Passa",I34,-1)&gt;=IF(Matriz!$E$15="Passa",K34,-1)),$I$5,IF(IF(Matriz!$D$15="Passa",J34,-1)&gt;=IF(Matriz!$E$15="Passa",K34,-1),$J$5,$K$5))</f>
        <v>Híbrido</v>
      </c>
    </row>
    <row r="35" spans="1:12" x14ac:dyDescent="0.25">
      <c r="A35" s="19">
        <v>0.65</v>
      </c>
      <c r="C35" s="12">
        <f>IF(1=2,$A35,INDEX(AHP!$I$4:$I$9,1)*(1-$A35)/(1-INDEX(AHP!$I$4:$I$9,2)))</f>
        <v>0.18036997392895</v>
      </c>
      <c r="D35" s="12">
        <f>IF(2=2,$A35,INDEX(AHP!$I$4:$I$9,2)*(1-$A35)/(1-INDEX(AHP!$I$4:$I$9,2)))</f>
        <v>0.65</v>
      </c>
      <c r="E35" s="12">
        <f>IF(3=2,$A35,INDEX(AHP!$I$4:$I$9,3)*(1-$A35)/(1-INDEX(AHP!$I$4:$I$9,2)))</f>
        <v>0.0296553738366833</v>
      </c>
      <c r="F35" s="12">
        <f>IF(4=2,$A35,INDEX(AHP!$I$4:$I$9,4)*(1-$A35)/(1-INDEX(AHP!$I$4:$I$9,2)))</f>
        <v>0.0296553738366833</v>
      </c>
      <c r="G35" s="12">
        <f>IF(5=2,$A35,INDEX(AHP!$I$4:$I$9,5)*(1-$A35)/(1-INDEX(AHP!$I$4:$I$9,2)))</f>
        <v>0.0296553738366833</v>
      </c>
      <c r="H35" s="12">
        <f>IF(6=2,$A35,INDEX(AHP!$I$4:$I$9,6)*(1-$A35)/(1-INDEX(AHP!$I$4:$I$9,2)))</f>
        <v>0.0806639045609996</v>
      </c>
      <c r="I35" s="20">
        <f>C35*Matriz!C$5+D35*Matriz!C$6+E35*Matriz!C$7+F35*Matriz!C$8+G35*Matriz!C$9+H35*Matriz!C$10</f>
        <v>4.0472683384591</v>
      </c>
      <c r="J35" s="20">
        <f>C35*Matriz!D$5+D35*Matriz!D$6+E35*Matriz!D$7+F35*Matriz!D$8+G35*Matriz!D$9+H35*Matriz!D$10</f>
        <v>2.13310163546985</v>
      </c>
      <c r="K35" s="20">
        <f>C35*Matriz!E$5+D35*Matriz!E$6+E35*Matriz!E$7+F35*Matriz!E$8+G35*Matriz!E$9+H35*Matriz!E$10</f>
        <v>3.97034462616332</v>
      </c>
      <c r="L35" s="14" t="str">
        <f>IF(AND(IF(Matriz!$C$15="Passa",I35,-1)&gt;=IF(Matriz!$D$15="Passa",J35,-1),IF(Matriz!$C$15="Passa",I35,-1)&gt;=IF(Matriz!$E$15="Passa",K35,-1)),$I$5,IF(IF(Matriz!$D$15="Passa",J35,-1)&gt;=IF(Matriz!$E$15="Passa",K35,-1),$J$5,$K$5))</f>
        <v>Híbrido</v>
      </c>
    </row>
    <row r="36" spans="1:12" x14ac:dyDescent="0.25">
      <c r="A36" s="19">
        <v>0.7</v>
      </c>
      <c r="C36" s="12">
        <f>IF(1=2,$A36,INDEX(AHP!$I$4:$I$9,1)*(1-$A36)/(1-INDEX(AHP!$I$4:$I$9,2)))</f>
        <v>0.154602834796243</v>
      </c>
      <c r="D36" s="12">
        <f>IF(2=2,$A36,INDEX(AHP!$I$4:$I$9,2)*(1-$A36)/(1-INDEX(AHP!$I$4:$I$9,2)))</f>
        <v>0.7</v>
      </c>
      <c r="E36" s="12">
        <f>IF(3=2,$A36,INDEX(AHP!$I$4:$I$9,3)*(1-$A36)/(1-INDEX(AHP!$I$4:$I$9,2)))</f>
        <v>0.0254188918600143</v>
      </c>
      <c r="F36" s="12">
        <f>IF(4=2,$A36,INDEX(AHP!$I$4:$I$9,4)*(1-$A36)/(1-INDEX(AHP!$I$4:$I$9,2)))</f>
        <v>0.0254188918600143</v>
      </c>
      <c r="G36" s="12">
        <f>IF(5=2,$A36,INDEX(AHP!$I$4:$I$9,5)*(1-$A36)/(1-INDEX(AHP!$I$4:$I$9,2)))</f>
        <v>0.0254188918600143</v>
      </c>
      <c r="H36" s="12">
        <f>IF(6=2,$A36,INDEX(AHP!$I$4:$I$9,6)*(1-$A36)/(1-INDEX(AHP!$I$4:$I$9,2)))</f>
        <v>0.069140489623714</v>
      </c>
      <c r="I36" s="20">
        <f>C36*Matriz!C$5+D36*Matriz!C$6+E36*Matriz!C$7+F36*Matriz!C$8+G36*Matriz!C$9+H36*Matriz!C$10</f>
        <v>4.18337286153637</v>
      </c>
      <c r="J36" s="20">
        <f>C36*Matriz!D$5+D36*Matriz!D$6+E36*Matriz!D$7+F36*Matriz!D$8+G36*Matriz!D$9+H36*Matriz!D$10</f>
        <v>1.97122997325987</v>
      </c>
      <c r="K36" s="20">
        <f>C36*Matriz!E$5+D36*Matriz!E$6+E36*Matriz!E$7+F36*Matriz!E$8+G36*Matriz!E$9+H36*Matriz!E$10</f>
        <v>3.97458110813999</v>
      </c>
      <c r="L36" s="14" t="str">
        <f>IF(AND(IF(Matriz!$C$15="Passa",I36,-1)&gt;=IF(Matriz!$D$15="Passa",J36,-1),IF(Matriz!$C$15="Passa",I36,-1)&gt;=IF(Matriz!$E$15="Passa",K36,-1)),$I$5,IF(IF(Matriz!$D$15="Passa",J36,-1)&gt;=IF(Matriz!$E$15="Passa",K36,-1),$J$5,$K$5))</f>
        <v>Híbrido</v>
      </c>
    </row>
    <row r="37" spans="1:12" x14ac:dyDescent="0.25">
      <c r="A37" s="19">
        <v>0.75</v>
      </c>
      <c r="C37" s="12">
        <f>IF(1=2,$A37,INDEX(AHP!$I$4:$I$9,1)*(1-$A37)/(1-INDEX(AHP!$I$4:$I$9,2)))</f>
        <v>0.128835695663536</v>
      </c>
      <c r="D37" s="12">
        <f>IF(2=2,$A37,INDEX(AHP!$I$4:$I$9,2)*(1-$A37)/(1-INDEX(AHP!$I$4:$I$9,2)))</f>
        <v>0.75</v>
      </c>
      <c r="E37" s="12">
        <f>IF(3=2,$A37,INDEX(AHP!$I$4:$I$9,3)*(1-$A37)/(1-INDEX(AHP!$I$4:$I$9,2)))</f>
        <v>0.0211824098833452</v>
      </c>
      <c r="F37" s="12">
        <f>IF(4=2,$A37,INDEX(AHP!$I$4:$I$9,4)*(1-$A37)/(1-INDEX(AHP!$I$4:$I$9,2)))</f>
        <v>0.0211824098833452</v>
      </c>
      <c r="G37" s="12">
        <f>IF(5=2,$A37,INDEX(AHP!$I$4:$I$9,5)*(1-$A37)/(1-INDEX(AHP!$I$4:$I$9,2)))</f>
        <v>0.0211824098833452</v>
      </c>
      <c r="H37" s="12">
        <f>IF(6=2,$A37,INDEX(AHP!$I$4:$I$9,6)*(1-$A37)/(1-INDEX(AHP!$I$4:$I$9,2)))</f>
        <v>0.0576170746864283</v>
      </c>
      <c r="I37" s="20">
        <f>C37*Matriz!C$5+D37*Matriz!C$6+E37*Matriz!C$7+F37*Matriz!C$8+G37*Matriz!C$9+H37*Matriz!C$10</f>
        <v>4.31947738461364</v>
      </c>
      <c r="J37" s="20">
        <f>C37*Matriz!D$5+D37*Matriz!D$6+E37*Matriz!D$7+F37*Matriz!D$8+G37*Matriz!D$9+H37*Matriz!D$10</f>
        <v>1.80935831104989</v>
      </c>
      <c r="K37" s="20">
        <f>C37*Matriz!E$5+D37*Matriz!E$6+E37*Matriz!E$7+F37*Matriz!E$8+G37*Matriz!E$9+H37*Matriz!E$10</f>
        <v>3.97881759011665</v>
      </c>
      <c r="L37" s="14" t="str">
        <f>IF(AND(IF(Matriz!$C$15="Passa",I37,-1)&gt;=IF(Matriz!$D$15="Passa",J37,-1),IF(Matriz!$C$15="Passa",I37,-1)&gt;=IF(Matriz!$E$15="Passa",K37,-1)),$I$5,IF(IF(Matriz!$D$15="Passa",J37,-1)&gt;=IF(Matriz!$E$15="Passa",K37,-1),$J$5,$K$5))</f>
        <v>Híbrido</v>
      </c>
    </row>
    <row r="38" spans="1:12" x14ac:dyDescent="0.25">
      <c r="A38" s="19">
        <v>0.8</v>
      </c>
      <c r="C38" s="12">
        <f>IF(1=2,$A38,INDEX(AHP!$I$4:$I$9,1)*(1-$A38)/(1-INDEX(AHP!$I$4:$I$9,2)))</f>
        <v>0.103068556530829</v>
      </c>
      <c r="D38" s="12">
        <f>IF(2=2,$A38,INDEX(AHP!$I$4:$I$9,2)*(1-$A38)/(1-INDEX(AHP!$I$4:$I$9,2)))</f>
        <v>0.8</v>
      </c>
      <c r="E38" s="12">
        <f>IF(3=2,$A38,INDEX(AHP!$I$4:$I$9,3)*(1-$A38)/(1-INDEX(AHP!$I$4:$I$9,2)))</f>
        <v>0.0169459279066762</v>
      </c>
      <c r="F38" s="12">
        <f>IF(4=2,$A38,INDEX(AHP!$I$4:$I$9,4)*(1-$A38)/(1-INDEX(AHP!$I$4:$I$9,2)))</f>
        <v>0.0169459279066762</v>
      </c>
      <c r="G38" s="12">
        <f>IF(5=2,$A38,INDEX(AHP!$I$4:$I$9,5)*(1-$A38)/(1-INDEX(AHP!$I$4:$I$9,2)))</f>
        <v>0.0169459279066762</v>
      </c>
      <c r="H38" s="12">
        <f>IF(6=2,$A38,INDEX(AHP!$I$4:$I$9,6)*(1-$A38)/(1-INDEX(AHP!$I$4:$I$9,2)))</f>
        <v>0.0460936597491426</v>
      </c>
      <c r="I38" s="20">
        <f>C38*Matriz!C$5+D38*Matriz!C$6+E38*Matriz!C$7+F38*Matriz!C$8+G38*Matriz!C$9+H38*Matriz!C$10</f>
        <v>4.45558190769092</v>
      </c>
      <c r="J38" s="20">
        <f>C38*Matriz!D$5+D38*Matriz!D$6+E38*Matriz!D$7+F38*Matriz!D$8+G38*Matriz!D$9+H38*Matriz!D$10</f>
        <v>1.64748664883991</v>
      </c>
      <c r="K38" s="20">
        <f>C38*Matriz!E$5+D38*Matriz!E$6+E38*Matriz!E$7+F38*Matriz!E$8+G38*Matriz!E$9+H38*Matriz!E$10</f>
        <v>3.98305407209332</v>
      </c>
      <c r="L38" s="14" t="str">
        <f>IF(AND(IF(Matriz!$C$15="Passa",I38,-1)&gt;=IF(Matriz!$D$15="Passa",J38,-1),IF(Matriz!$C$15="Passa",I38,-1)&gt;=IF(Matriz!$E$15="Passa",K38,-1)),$I$5,IF(IF(Matriz!$D$15="Passa",J38,-1)&gt;=IF(Matriz!$E$15="Passa",K38,-1),$J$5,$K$5))</f>
        <v>Híbrido</v>
      </c>
    </row>
    <row r="40" spans="1:1" x14ac:dyDescent="0.25">
      <c r="A40" s="6" t="s">
        <v>180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Leia-me</vt:lpstr>
      <vt:lpstr>Premissas</vt:lpstr>
      <vt:lpstr>AHP</vt:lpstr>
      <vt:lpstr>Escala</vt:lpstr>
      <vt:lpstr>Matriz</vt:lpstr>
      <vt:lpstr>Sensibilidade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Grupo 02 — Trilha Educacional 2026.2</dc:creator>
  <dc:title/>
  <dc:subject/>
  <dc:description/>
  <cp:keywords/>
  <cp:category/>
  <cp:lastModifiedBy>Unknown</cp:lastModifiedBy>
  <dcterms:created xsi:type="dcterms:W3CDTF">2026-10-29T21:07:53Z</dcterms:created>
  <dcterms:modified xsi:type="dcterms:W3CDTF">2026-10-29T21:07:53Z</dcterms:modified>
</cp:coreProperties>
</file>